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iers" sheetId="1" r:id="rId5"/>
    <sheet state="visible" name="Gyutos" sheetId="2" r:id="rId6"/>
    <sheet state="visible" name="Santokus" sheetId="3" r:id="rId7"/>
    <sheet state="visible" name="Cleaver" sheetId="4" r:id="rId8"/>
    <sheet state="visible" name="Knife Sets" sheetId="5" r:id="rId9"/>
    <sheet state="visible" name="Kiritsuke" sheetId="6" r:id="rId10"/>
    <sheet state="visible" name="Bread Knife" sheetId="7" r:id="rId11"/>
    <sheet state="visible" name="Nakiri" sheetId="8" r:id="rId12"/>
    <sheet state="visible" name="Butcher Knife" sheetId="9" r:id="rId13"/>
    <sheet state="visible" name="Steak" sheetId="10" r:id="rId14"/>
  </sheets>
  <definedNames/>
  <calcPr/>
</workbook>
</file>

<file path=xl/sharedStrings.xml><?xml version="1.0" encoding="utf-8"?>
<sst xmlns="http://schemas.openxmlformats.org/spreadsheetml/2006/main" count="309" uniqueCount="122">
  <si>
    <t>Total</t>
  </si>
  <si>
    <t>GBP</t>
  </si>
  <si>
    <t>USD</t>
  </si>
  <si>
    <t>Retail</t>
  </si>
  <si>
    <t>USD:GBP</t>
  </si>
  <si>
    <t>Gyuto</t>
  </si>
  <si>
    <t>Santoku</t>
  </si>
  <si>
    <t>Cleaver</t>
  </si>
  <si>
    <t>Knife Set</t>
  </si>
  <si>
    <t>Kirisuke</t>
  </si>
  <si>
    <t>Bread Knife</t>
  </si>
  <si>
    <t>Nakiri</t>
  </si>
  <si>
    <t>Butcher Knives</t>
  </si>
  <si>
    <t>Standard Boxes</t>
  </si>
  <si>
    <t>Knife Set Boxes</t>
  </si>
  <si>
    <t>Actual</t>
  </si>
  <si>
    <t>Payment Fees</t>
  </si>
  <si>
    <t>Shipping</t>
  </si>
  <si>
    <t>Duty</t>
  </si>
  <si>
    <t>Vat</t>
  </si>
  <si>
    <t>Final Bill</t>
  </si>
  <si>
    <t>Total No. Knives</t>
  </si>
  <si>
    <t>Cost to import per knife</t>
  </si>
  <si>
    <t>Av cost per knife</t>
  </si>
  <si>
    <t>Av Cog</t>
  </si>
  <si>
    <t>Image</t>
  </si>
  <si>
    <t>Inch</t>
  </si>
  <si>
    <t>SKU</t>
  </si>
  <si>
    <t>Handle</t>
  </si>
  <si>
    <t>Material</t>
  </si>
  <si>
    <t>Price USD</t>
  </si>
  <si>
    <t>Price GBP</t>
  </si>
  <si>
    <t>Qty</t>
  </si>
  <si>
    <t>Import</t>
  </si>
  <si>
    <t>Packaging</t>
  </si>
  <si>
    <t>Postage</t>
  </si>
  <si>
    <t>COG</t>
  </si>
  <si>
    <t>RRP</t>
  </si>
  <si>
    <t>GM</t>
  </si>
  <si>
    <t xml:space="preserve">DMS-151A
</t>
  </si>
  <si>
    <t>Ebony
+Solidified Wood</t>
  </si>
  <si>
    <t>Dam</t>
  </si>
  <si>
    <t>DMS-148A</t>
  </si>
  <si>
    <t>Rose wood</t>
  </si>
  <si>
    <t>DMS-132A</t>
  </si>
  <si>
    <t>Olive wood</t>
  </si>
  <si>
    <t>DMS-119G</t>
  </si>
  <si>
    <t>Ebony wood</t>
  </si>
  <si>
    <t>HM-20A</t>
  </si>
  <si>
    <t>Hardwood</t>
  </si>
  <si>
    <t>AUS10 Steel</t>
  </si>
  <si>
    <t>HM-19A</t>
  </si>
  <si>
    <t>Mkuruti wood</t>
  </si>
  <si>
    <t>HM-19A1</t>
  </si>
  <si>
    <t>HM-6A</t>
  </si>
  <si>
    <t>SS</t>
  </si>
  <si>
    <t>HM-51A</t>
  </si>
  <si>
    <t>TD-0012A</t>
  </si>
  <si>
    <t>Pakka wood</t>
  </si>
  <si>
    <t>DMS-106T</t>
  </si>
  <si>
    <t>Carbon fiber</t>
  </si>
  <si>
    <t>DMS-146A</t>
  </si>
  <si>
    <t>DMS-122A</t>
  </si>
  <si>
    <t>Resin + hardwood</t>
  </si>
  <si>
    <t>DMS-125A</t>
  </si>
  <si>
    <t>Yoshi</t>
  </si>
  <si>
    <t>YOSHI-GYT</t>
  </si>
  <si>
    <t>DMS-136A</t>
  </si>
  <si>
    <t>White resin</t>
  </si>
  <si>
    <t>DMS-122A-GREEN</t>
  </si>
  <si>
    <t>Resin</t>
  </si>
  <si>
    <t>DMS-018A</t>
  </si>
  <si>
    <t>Pakka</t>
  </si>
  <si>
    <t>DMS-120T-RED</t>
  </si>
  <si>
    <t>DMS-126A</t>
  </si>
  <si>
    <t>Price</t>
  </si>
  <si>
    <t>DMS-151B</t>
  </si>
  <si>
    <t xml:space="preserve">Ebony
+Solidified Wood+Solidified Wood"
</t>
  </si>
  <si>
    <t>DMS-148B</t>
  </si>
  <si>
    <t xml:space="preserve">Rose Wood
</t>
  </si>
  <si>
    <t>DMS-132B</t>
  </si>
  <si>
    <t>Olive Wood</t>
  </si>
  <si>
    <t>HM-50B</t>
  </si>
  <si>
    <t>Hard wood</t>
  </si>
  <si>
    <t>HM-19B</t>
  </si>
  <si>
    <t>HM-6B</t>
  </si>
  <si>
    <t>TD-0012B</t>
  </si>
  <si>
    <t>DMS-018B</t>
  </si>
  <si>
    <t>DAM</t>
  </si>
  <si>
    <t>DMS-138B</t>
  </si>
  <si>
    <t>DMS-126B</t>
  </si>
  <si>
    <t>DMS-131B</t>
  </si>
  <si>
    <t>Resin + Abalone</t>
  </si>
  <si>
    <t>DMS-103B</t>
  </si>
  <si>
    <t>Sandal wood</t>
  </si>
  <si>
    <t>DMS-134B</t>
  </si>
  <si>
    <t>Carbon fiber &amp; golden foil</t>
  </si>
  <si>
    <t>Supplier</t>
  </si>
  <si>
    <t>QTY</t>
  </si>
  <si>
    <t>TD-006</t>
  </si>
  <si>
    <t>TD-007</t>
  </si>
  <si>
    <t>TD-002</t>
  </si>
  <si>
    <t>These are for the 8 knives sets</t>
  </si>
  <si>
    <t>DMS-151K</t>
  </si>
  <si>
    <t>GS</t>
  </si>
  <si>
    <t>DMS-148K</t>
  </si>
  <si>
    <t>DMS-119A</t>
  </si>
  <si>
    <t>HM-19K</t>
  </si>
  <si>
    <t>HM-19K1</t>
  </si>
  <si>
    <t>HM-6K</t>
  </si>
  <si>
    <t>HM-19H</t>
  </si>
  <si>
    <t>DMS-136H</t>
  </si>
  <si>
    <t>DMS-119C</t>
  </si>
  <si>
    <t>HM-19C</t>
  </si>
  <si>
    <t>HM-19C1</t>
  </si>
  <si>
    <t>HM-51C</t>
  </si>
  <si>
    <t>HM-24</t>
  </si>
  <si>
    <t>HM-49</t>
  </si>
  <si>
    <t>FIB-30-BROWN</t>
  </si>
  <si>
    <t>DMS-008S-4pcs</t>
  </si>
  <si>
    <t>Black g10</t>
  </si>
  <si>
    <t>dam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</si>
</sst>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£]#,##0.00"/>
    <numFmt numFmtId="165" formatCode="[$$]#,##0.00"/>
    <numFmt numFmtId="166" formatCode="[$£-809]#,##0.00"/>
    <numFmt numFmtId="167" formatCode="&quot;£&quot;#,##0.00"/>
  </numFmts>
  <fonts count="4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">
    <border/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165" xfId="0" applyFont="1" applyNumberFormat="1"/>
    <xf borderId="0" fillId="0" fontId="2" numFmtId="0" xfId="0" applyAlignment="1" applyFont="1">
      <alignment readingOrder="0"/>
    </xf>
    <xf borderId="0" fillId="0" fontId="2" numFmtId="166" xfId="0" applyFont="1" applyNumberFormat="1"/>
    <xf borderId="0" fillId="0" fontId="1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1" fillId="0" fontId="1" numFmtId="0" xfId="0" applyBorder="1" applyFont="1"/>
    <xf borderId="1" fillId="0" fontId="1" numFmtId="164" xfId="0" applyBorder="1" applyFont="1" applyNumberFormat="1"/>
    <xf borderId="1" fillId="0" fontId="1" numFmtId="165" xfId="0" applyAlignment="1" applyBorder="1" applyFont="1" applyNumberFormat="1">
      <alignment readingOrder="0"/>
    </xf>
    <xf borderId="1" fillId="0" fontId="1" numFmtId="166" xfId="0" applyBorder="1" applyFont="1" applyNumberFormat="1"/>
    <xf borderId="0" fillId="0" fontId="1" numFmtId="164" xfId="0" applyAlignment="1" applyFont="1" applyNumberFormat="1">
      <alignment readingOrder="0"/>
    </xf>
    <xf borderId="0" fillId="0" fontId="1" numFmtId="165" xfId="0" applyFont="1" applyNumberFormat="1"/>
    <xf borderId="0" fillId="0" fontId="1" numFmtId="4" xfId="0" applyAlignment="1" applyFont="1" applyNumberFormat="1">
      <alignment readingOrder="0"/>
    </xf>
    <xf borderId="0" fillId="0" fontId="1" numFmtId="165" xfId="0" applyFont="1" applyNumberFormat="1"/>
    <xf borderId="0" fillId="0" fontId="1" numFmtId="166" xfId="0" applyFont="1" applyNumberFormat="1"/>
    <xf borderId="0" fillId="0" fontId="2" numFmtId="166" xfId="0" applyAlignment="1" applyFont="1" applyNumberFormat="1">
      <alignment readingOrder="0"/>
    </xf>
    <xf borderId="0" fillId="0" fontId="2" numFmtId="166" xfId="0" applyFont="1" applyNumberFormat="1"/>
    <xf borderId="0" fillId="0" fontId="2" numFmtId="10" xfId="0" applyFont="1" applyNumberFormat="1"/>
    <xf borderId="0" fillId="0" fontId="2" numFmtId="0" xfId="0" applyFont="1"/>
    <xf borderId="0" fillId="2" fontId="1" numFmtId="0" xfId="0" applyFill="1" applyFont="1"/>
    <xf borderId="0" fillId="0" fontId="1" numFmtId="165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3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16.png"/><Relationship Id="rId10" Type="http://schemas.openxmlformats.org/officeDocument/2006/relationships/image" Target="../media/image15.png"/><Relationship Id="rId13" Type="http://schemas.openxmlformats.org/officeDocument/2006/relationships/image" Target="../media/image18.png"/><Relationship Id="rId12" Type="http://schemas.openxmlformats.org/officeDocument/2006/relationships/image" Target="../media/image6.png"/><Relationship Id="rId1" Type="http://schemas.openxmlformats.org/officeDocument/2006/relationships/image" Target="../media/image2.png"/><Relationship Id="rId2" Type="http://schemas.openxmlformats.org/officeDocument/2006/relationships/image" Target="../media/image7.png"/><Relationship Id="rId3" Type="http://schemas.openxmlformats.org/officeDocument/2006/relationships/image" Target="../media/image1.png"/><Relationship Id="rId4" Type="http://schemas.openxmlformats.org/officeDocument/2006/relationships/image" Target="../media/image11.png"/><Relationship Id="rId9" Type="http://schemas.openxmlformats.org/officeDocument/2006/relationships/image" Target="../media/image19.png"/><Relationship Id="rId15" Type="http://schemas.openxmlformats.org/officeDocument/2006/relationships/image" Target="../media/image25.png"/><Relationship Id="rId14" Type="http://schemas.openxmlformats.org/officeDocument/2006/relationships/image" Target="../media/image5.png"/><Relationship Id="rId17" Type="http://schemas.openxmlformats.org/officeDocument/2006/relationships/image" Target="../media/image4.png"/><Relationship Id="rId16" Type="http://schemas.openxmlformats.org/officeDocument/2006/relationships/image" Target="../media/image13.png"/><Relationship Id="rId5" Type="http://schemas.openxmlformats.org/officeDocument/2006/relationships/image" Target="../media/image17.png"/><Relationship Id="rId19" Type="http://schemas.openxmlformats.org/officeDocument/2006/relationships/image" Target="../media/image22.png"/><Relationship Id="rId6" Type="http://schemas.openxmlformats.org/officeDocument/2006/relationships/image" Target="../media/image24.png"/><Relationship Id="rId18" Type="http://schemas.openxmlformats.org/officeDocument/2006/relationships/image" Target="../media/image14.png"/><Relationship Id="rId7" Type="http://schemas.openxmlformats.org/officeDocument/2006/relationships/image" Target="../media/image3.png"/><Relationship Id="rId8" Type="http://schemas.openxmlformats.org/officeDocument/2006/relationships/image" Target="../media/image12.png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image34.png"/><Relationship Id="rId10" Type="http://schemas.openxmlformats.org/officeDocument/2006/relationships/image" Target="../media/image28.png"/><Relationship Id="rId13" Type="http://schemas.openxmlformats.org/officeDocument/2006/relationships/image" Target="../media/image35.png"/><Relationship Id="rId12" Type="http://schemas.openxmlformats.org/officeDocument/2006/relationships/image" Target="../media/image45.png"/><Relationship Id="rId1" Type="http://schemas.openxmlformats.org/officeDocument/2006/relationships/image" Target="../media/image21.png"/><Relationship Id="rId2" Type="http://schemas.openxmlformats.org/officeDocument/2006/relationships/image" Target="../media/image8.png"/><Relationship Id="rId3" Type="http://schemas.openxmlformats.org/officeDocument/2006/relationships/image" Target="../media/image10.png"/><Relationship Id="rId4" Type="http://schemas.openxmlformats.org/officeDocument/2006/relationships/image" Target="../media/image23.png"/><Relationship Id="rId9" Type="http://schemas.openxmlformats.org/officeDocument/2006/relationships/image" Target="../media/image26.png"/><Relationship Id="rId5" Type="http://schemas.openxmlformats.org/officeDocument/2006/relationships/image" Target="../media/image20.png"/><Relationship Id="rId6" Type="http://schemas.openxmlformats.org/officeDocument/2006/relationships/image" Target="../media/image9.png"/><Relationship Id="rId7" Type="http://schemas.openxmlformats.org/officeDocument/2006/relationships/image" Target="../media/image30.png"/><Relationship Id="rId8" Type="http://schemas.openxmlformats.org/officeDocument/2006/relationships/image" Target="../media/image29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51.png"/><Relationship Id="rId3" Type="http://schemas.openxmlformats.org/officeDocument/2006/relationships/image" Target="../media/image3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7.png"/><Relationship Id="rId3" Type="http://schemas.openxmlformats.org/officeDocument/2006/relationships/image" Target="../media/image3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50.png"/><Relationship Id="rId3" Type="http://schemas.openxmlformats.org/officeDocument/2006/relationships/image" Target="../media/image42.png"/><Relationship Id="rId4" Type="http://schemas.openxmlformats.org/officeDocument/2006/relationships/image" Target="../media/image41.png"/><Relationship Id="rId5" Type="http://schemas.openxmlformats.org/officeDocument/2006/relationships/image" Target="../media/image46.png"/><Relationship Id="rId6" Type="http://schemas.openxmlformats.org/officeDocument/2006/relationships/image" Target="../media/image3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54.png"/><Relationship Id="rId3" Type="http://schemas.openxmlformats.org/officeDocument/2006/relationships/image" Target="../media/image49.png"/><Relationship Id="rId4" Type="http://schemas.openxmlformats.org/officeDocument/2006/relationships/image" Target="../media/image4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52.png"/><Relationship Id="rId3" Type="http://schemas.openxmlformats.org/officeDocument/2006/relationships/image" Target="../media/image3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1</xdr:row>
      <xdr:rowOff>66675</xdr:rowOff>
    </xdr:from>
    <xdr:ext cx="1466850" cy="2571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2</xdr:row>
      <xdr:rowOff>47625</xdr:rowOff>
    </xdr:from>
    <xdr:ext cx="1314450" cy="3048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4</xdr:row>
      <xdr:rowOff>38100</xdr:rowOff>
    </xdr:from>
    <xdr:ext cx="1362075" cy="28575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6</xdr:row>
      <xdr:rowOff>66675</xdr:rowOff>
    </xdr:from>
    <xdr:ext cx="1304925" cy="285750"/>
    <xdr:pic>
      <xdr:nvPicPr>
        <xdr:cNvPr id="0" name="image1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6</xdr:row>
      <xdr:rowOff>371475</xdr:rowOff>
    </xdr:from>
    <xdr:ext cx="1323975" cy="285750"/>
    <xdr:pic>
      <xdr:nvPicPr>
        <xdr:cNvPr id="0" name="image1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1381125" cy="285750"/>
    <xdr:pic>
      <xdr:nvPicPr>
        <xdr:cNvPr id="0" name="image24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10</xdr:row>
      <xdr:rowOff>381000</xdr:rowOff>
    </xdr:from>
    <xdr:ext cx="1343025" cy="285750"/>
    <xdr:pic>
      <xdr:nvPicPr>
        <xdr:cNvPr id="0" name="image3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9</xdr:row>
      <xdr:rowOff>381000</xdr:rowOff>
    </xdr:from>
    <xdr:ext cx="1295400" cy="276225"/>
    <xdr:pic>
      <xdr:nvPicPr>
        <xdr:cNvPr id="0" name="image12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47625</xdr:rowOff>
    </xdr:from>
    <xdr:ext cx="1466850" cy="304800"/>
    <xdr:pic>
      <xdr:nvPicPr>
        <xdr:cNvPr id="0" name="image19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13</xdr:row>
      <xdr:rowOff>28575</xdr:rowOff>
    </xdr:from>
    <xdr:ext cx="1466850" cy="342900"/>
    <xdr:pic>
      <xdr:nvPicPr>
        <xdr:cNvPr id="0" name="image15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19050</xdr:rowOff>
    </xdr:from>
    <xdr:ext cx="1628775" cy="342900"/>
    <xdr:pic>
      <xdr:nvPicPr>
        <xdr:cNvPr id="0" name="image16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1819275" cy="361950"/>
    <xdr:pic>
      <xdr:nvPicPr>
        <xdr:cNvPr id="0" name="image6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381000</xdr:rowOff>
    </xdr:from>
    <xdr:ext cx="1819275" cy="361950"/>
    <xdr:pic>
      <xdr:nvPicPr>
        <xdr:cNvPr id="0" name="image18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381000</xdr:rowOff>
    </xdr:from>
    <xdr:ext cx="1733550" cy="447675"/>
    <xdr:pic>
      <xdr:nvPicPr>
        <xdr:cNvPr id="0" name="image5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22</xdr:row>
      <xdr:rowOff>47625</xdr:rowOff>
    </xdr:from>
    <xdr:ext cx="1628775" cy="361950"/>
    <xdr:pic>
      <xdr:nvPicPr>
        <xdr:cNvPr id="0" name="image25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381000</xdr:rowOff>
    </xdr:from>
    <xdr:ext cx="2000250" cy="409575"/>
    <xdr:pic>
      <xdr:nvPicPr>
        <xdr:cNvPr id="0" name="image13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1685925" cy="381000"/>
    <xdr:pic>
      <xdr:nvPicPr>
        <xdr:cNvPr id="0" name="image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1666875" cy="381000"/>
    <xdr:pic>
      <xdr:nvPicPr>
        <xdr:cNvPr id="0" name="image14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1562100" cy="381000"/>
    <xdr:pic>
      <xdr:nvPicPr>
        <xdr:cNvPr id="0" name="image2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2</xdr:row>
      <xdr:rowOff>19050</xdr:rowOff>
    </xdr:from>
    <xdr:ext cx="12477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47625</xdr:rowOff>
    </xdr:from>
    <xdr:ext cx="1371600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47625</xdr:rowOff>
    </xdr:from>
    <xdr:ext cx="1047750" cy="276225"/>
    <xdr:pic>
      <xdr:nvPicPr>
        <xdr:cNvPr id="0" name="image10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47625</xdr:rowOff>
    </xdr:from>
    <xdr:ext cx="1181100" cy="276225"/>
    <xdr:pic>
      <xdr:nvPicPr>
        <xdr:cNvPr id="0" name="image2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47625</xdr:rowOff>
    </xdr:from>
    <xdr:ext cx="1190625" cy="276225"/>
    <xdr:pic>
      <xdr:nvPicPr>
        <xdr:cNvPr id="0" name="image20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47625</xdr:rowOff>
    </xdr:from>
    <xdr:ext cx="1247775" cy="285750"/>
    <xdr:pic>
      <xdr:nvPicPr>
        <xdr:cNvPr id="0" name="image9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47625</xdr:rowOff>
    </xdr:from>
    <xdr:ext cx="1133475" cy="276225"/>
    <xdr:pic>
      <xdr:nvPicPr>
        <xdr:cNvPr id="0" name="image30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11</xdr:row>
      <xdr:rowOff>333375</xdr:rowOff>
    </xdr:from>
    <xdr:ext cx="1590675" cy="419100"/>
    <xdr:pic>
      <xdr:nvPicPr>
        <xdr:cNvPr id="0" name="image29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47625</xdr:rowOff>
    </xdr:from>
    <xdr:ext cx="1724025" cy="333375"/>
    <xdr:pic>
      <xdr:nvPicPr>
        <xdr:cNvPr id="0" name="image26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1600200" cy="304800"/>
    <xdr:pic>
      <xdr:nvPicPr>
        <xdr:cNvPr id="0" name="image28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381000</xdr:rowOff>
    </xdr:from>
    <xdr:ext cx="1485900" cy="333375"/>
    <xdr:pic>
      <xdr:nvPicPr>
        <xdr:cNvPr id="0" name="image34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762125" cy="381000"/>
    <xdr:pic>
      <xdr:nvPicPr>
        <xdr:cNvPr id="0" name="image4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1990725" cy="342900"/>
    <xdr:pic>
      <xdr:nvPicPr>
        <xdr:cNvPr id="0" name="image3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200025</xdr:rowOff>
    </xdr:from>
    <xdr:ext cx="1219200" cy="36195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066800" cy="381000"/>
    <xdr:pic>
      <xdr:nvPicPr>
        <xdr:cNvPr id="0" name="image5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1019175" cy="381000"/>
    <xdr:pic>
      <xdr:nvPicPr>
        <xdr:cNvPr id="0" name="image3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1238250" cy="257175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1381125" cy="28575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1552575" cy="381000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2</xdr:row>
      <xdr:rowOff>28575</xdr:rowOff>
    </xdr:from>
    <xdr:ext cx="1333500" cy="28575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1333500" cy="24765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1333500" cy="228600"/>
    <xdr:pic>
      <xdr:nvPicPr>
        <xdr:cNvPr id="0" name="image4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828800" cy="371475"/>
    <xdr:pic>
      <xdr:nvPicPr>
        <xdr:cNvPr id="0" name="image4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1628775" cy="381000"/>
    <xdr:pic>
      <xdr:nvPicPr>
        <xdr:cNvPr id="0" name="image4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1504950" cy="381000"/>
    <xdr:pic>
      <xdr:nvPicPr>
        <xdr:cNvPr id="0" name="image3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1495425" cy="276225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47625</xdr:rowOff>
    </xdr:from>
    <xdr:ext cx="1600200" cy="276225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7</xdr:row>
      <xdr:rowOff>66675</xdr:rowOff>
    </xdr:from>
    <xdr:ext cx="1495425" cy="276225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3</xdr:row>
      <xdr:rowOff>9525</xdr:rowOff>
    </xdr:from>
    <xdr:ext cx="1209675" cy="28575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4</xdr:row>
      <xdr:rowOff>57150</xdr:rowOff>
    </xdr:from>
    <xdr:ext cx="1238250" cy="276225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533525" cy="381000"/>
    <xdr:pic>
      <xdr:nvPicPr>
        <xdr:cNvPr id="0" name="image4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1447800" cy="381000"/>
    <xdr:pic>
      <xdr:nvPicPr>
        <xdr:cNvPr id="0" name="image4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200025</xdr:rowOff>
    </xdr:from>
    <xdr:ext cx="1133475" cy="78105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933450</xdr:rowOff>
    </xdr:from>
    <xdr:ext cx="1133475" cy="885825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3</xdr:row>
      <xdr:rowOff>47625</xdr:rowOff>
    </xdr:from>
    <xdr:ext cx="1181100" cy="885825"/>
    <xdr:pic>
      <xdr:nvPicPr>
        <xdr:cNvPr id="0" name="image3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714375" cy="628650"/>
    <xdr:pic>
      <xdr:nvPicPr>
        <xdr:cNvPr id="0" name="image5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25"/>
    <col customWidth="1" min="2" max="4" width="12.63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H1" s="1" t="s">
        <v>4</v>
      </c>
      <c r="I1" s="1">
        <f>IFERROR(__xludf.DUMMYFUNCTION("GOOGLEFINANCE(""usd-gbp"")"),0.7528549999999999)</f>
        <v>0.752855</v>
      </c>
    </row>
    <row r="2" ht="15.75" customHeight="1">
      <c r="A2" s="1" t="s">
        <v>5</v>
      </c>
      <c r="B2" s="2">
        <f>Gyutos!I16</f>
        <v>1954.788008</v>
      </c>
      <c r="C2" s="3"/>
      <c r="D2" s="5">
        <f t="shared" ref="D2:D9" si="1">B2/0.6</f>
        <v>3257.980013</v>
      </c>
    </row>
    <row r="3" ht="15.75" customHeight="1">
      <c r="A3" s="1" t="s">
        <v>6</v>
      </c>
      <c r="B3" s="2">
        <f>Santokus!I10</f>
        <v>986.7670485</v>
      </c>
      <c r="C3" s="3"/>
      <c r="D3" s="5">
        <f t="shared" si="1"/>
        <v>1644.611748</v>
      </c>
    </row>
    <row r="4" ht="15.75" customHeight="1">
      <c r="A4" s="1" t="s">
        <v>7</v>
      </c>
      <c r="B4" s="2">
        <f>Cleaver!I4</f>
        <v>133.7823335</v>
      </c>
      <c r="C4" s="3"/>
      <c r="D4" s="5">
        <f t="shared" si="1"/>
        <v>222.9705558</v>
      </c>
    </row>
    <row r="5" ht="15.75" customHeight="1">
      <c r="A5" s="1" t="s">
        <v>8</v>
      </c>
      <c r="B5" s="2">
        <f>'Knife Sets'!F5</f>
        <v>619.9760925</v>
      </c>
      <c r="C5" s="3"/>
      <c r="D5" s="5">
        <f t="shared" si="1"/>
        <v>1033.293488</v>
      </c>
    </row>
    <row r="6" ht="15.75" customHeight="1">
      <c r="A6" s="1" t="s">
        <v>9</v>
      </c>
      <c r="B6" s="2">
        <f>Kiritsuke!I8</f>
        <v>387.5321113</v>
      </c>
      <c r="C6" s="3"/>
      <c r="D6" s="5">
        <f t="shared" si="1"/>
        <v>645.8868521</v>
      </c>
    </row>
    <row r="7" ht="15.75" customHeight="1">
      <c r="A7" s="1" t="s">
        <v>10</v>
      </c>
      <c r="B7" s="2">
        <f>'Bread Knife'!H4</f>
        <v>127.232495</v>
      </c>
      <c r="C7" s="3"/>
      <c r="D7" s="5">
        <f t="shared" si="1"/>
        <v>212.0541583</v>
      </c>
    </row>
    <row r="8" ht="15.75" customHeight="1">
      <c r="A8" s="1" t="s">
        <v>11</v>
      </c>
      <c r="B8" s="2">
        <f>Nakiri!I6</f>
        <v>226.458784</v>
      </c>
      <c r="C8" s="3"/>
      <c r="D8" s="5">
        <f t="shared" si="1"/>
        <v>377.4313067</v>
      </c>
    </row>
    <row r="9" ht="15.75" customHeight="1">
      <c r="A9" s="6" t="s">
        <v>12</v>
      </c>
      <c r="B9" s="2">
        <f>'Butcher Knife'!I5</f>
        <v>48.2580055</v>
      </c>
      <c r="C9" s="3"/>
      <c r="D9" s="5">
        <f t="shared" si="1"/>
        <v>80.43000917</v>
      </c>
    </row>
    <row r="10" ht="15.75" customHeight="1">
      <c r="A10" s="6" t="s">
        <v>13</v>
      </c>
      <c r="B10" s="2">
        <f>C10*I1</f>
        <v>171.2745125</v>
      </c>
      <c r="C10" s="7">
        <v>227.5</v>
      </c>
    </row>
    <row r="11" ht="15.75" customHeight="1">
      <c r="A11" s="6" t="s">
        <v>14</v>
      </c>
      <c r="B11" s="2">
        <f>C11*I1</f>
        <v>73.4033625</v>
      </c>
      <c r="C11" s="8">
        <v>97.5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ht="15.75" customHeight="1">
      <c r="A12" s="9" t="s">
        <v>0</v>
      </c>
      <c r="B12" s="10">
        <f>SUM(B2:B11)</f>
        <v>4729.472753</v>
      </c>
      <c r="C12" s="11"/>
      <c r="D12" s="12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ht="15.75" customHeight="1">
      <c r="A13" s="6" t="s">
        <v>15</v>
      </c>
      <c r="B13" s="13">
        <v>5217.1</v>
      </c>
      <c r="C13" s="14"/>
      <c r="D13" s="1"/>
      <c r="E13" s="1"/>
      <c r="F13" s="1"/>
      <c r="G13" s="1"/>
      <c r="H13" s="6"/>
      <c r="I13" s="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ht="15.75" customHeight="1">
      <c r="A14" s="6" t="s">
        <v>16</v>
      </c>
      <c r="B14" s="13">
        <v>156.0</v>
      </c>
      <c r="C14" s="7"/>
    </row>
    <row r="15" ht="15.75" customHeight="1">
      <c r="A15" s="1" t="s">
        <v>17</v>
      </c>
      <c r="B15" s="13">
        <f>B13-B12</f>
        <v>487.6272473</v>
      </c>
      <c r="C15" s="7">
        <v>0.0</v>
      </c>
    </row>
    <row r="16" ht="15.75" customHeight="1">
      <c r="A16" s="1" t="s">
        <v>18</v>
      </c>
      <c r="B16" s="2">
        <v>0.0</v>
      </c>
      <c r="C16" s="3"/>
    </row>
    <row r="17" ht="15.75" customHeight="1">
      <c r="A17" s="1" t="s">
        <v>19</v>
      </c>
      <c r="B17" s="2">
        <v>0.0</v>
      </c>
      <c r="C17" s="3"/>
    </row>
    <row r="18" ht="15.75" customHeight="1">
      <c r="B18" s="2"/>
      <c r="C18" s="3"/>
    </row>
    <row r="19" ht="15.75" customHeight="1">
      <c r="A19" s="1" t="s">
        <v>20</v>
      </c>
      <c r="B19" s="2">
        <f>SUM(B12:B17)-B13</f>
        <v>5373.1</v>
      </c>
      <c r="C19" s="3">
        <f>B19/I1</f>
        <v>7136.965285</v>
      </c>
    </row>
    <row r="20" ht="15.75" customHeight="1">
      <c r="A20" s="1" t="s">
        <v>21</v>
      </c>
      <c r="B20" s="15">
        <f>SUM(Gyutos!H16+Santokus!H10+Cleaver!H4+'Knife Sets'!E5+Kiritsuke!H8+'Bread Knife'!G4+Nakiri!H6+'Butcher Knife'!H5)</f>
        <v>345</v>
      </c>
      <c r="C20" s="3"/>
    </row>
    <row r="21" ht="15.75" customHeight="1">
      <c r="A21" s="1" t="s">
        <v>22</v>
      </c>
      <c r="B21" s="2">
        <f>(SUM(B14:B17)/B20)</f>
        <v>1.865586224</v>
      </c>
      <c r="C21" s="3"/>
    </row>
    <row r="22" ht="15.75" customHeight="1">
      <c r="A22" s="1" t="s">
        <v>23</v>
      </c>
      <c r="B22" s="2">
        <f>B12/B20</f>
        <v>13.70861667</v>
      </c>
      <c r="C22" s="3"/>
    </row>
    <row r="23" ht="15.75" customHeight="1">
      <c r="A23" s="1" t="s">
        <v>24</v>
      </c>
      <c r="B23" s="2">
        <f>B22+B21</f>
        <v>15.5742029</v>
      </c>
      <c r="C23" s="3"/>
    </row>
    <row r="24" ht="15.75" customHeight="1">
      <c r="B24" s="2"/>
      <c r="C24" s="3"/>
    </row>
    <row r="25" ht="15.75" customHeight="1">
      <c r="B25" s="2"/>
      <c r="C25" s="3"/>
    </row>
    <row r="26" ht="15.75" customHeight="1">
      <c r="B26" s="2"/>
      <c r="C26" s="3"/>
    </row>
    <row r="27" ht="15.75" customHeight="1">
      <c r="B27" s="2"/>
      <c r="C27" s="3"/>
    </row>
    <row r="28" ht="15.75" customHeight="1">
      <c r="B28" s="2"/>
      <c r="C28" s="3"/>
    </row>
    <row r="29" ht="15.75" customHeight="1">
      <c r="B29" s="2"/>
      <c r="C29" s="3"/>
    </row>
    <row r="30" ht="15.75" customHeight="1">
      <c r="B30" s="2"/>
      <c r="C30" s="3"/>
    </row>
    <row r="31" ht="15.75" customHeight="1">
      <c r="B31" s="2"/>
      <c r="C31" s="3"/>
    </row>
    <row r="32" ht="15.75" customHeight="1">
      <c r="B32" s="2"/>
      <c r="C32" s="3"/>
    </row>
    <row r="33" ht="15.75" customHeight="1">
      <c r="B33" s="2"/>
      <c r="C33" s="3"/>
    </row>
    <row r="34" ht="15.75" customHeight="1">
      <c r="B34" s="2"/>
      <c r="C34" s="3"/>
    </row>
    <row r="35" ht="15.75" customHeight="1">
      <c r="B35" s="2"/>
      <c r="C35" s="3"/>
    </row>
    <row r="36" ht="15.75" customHeight="1">
      <c r="B36" s="2"/>
      <c r="C36" s="3"/>
    </row>
    <row r="37" ht="15.75" customHeight="1">
      <c r="B37" s="2"/>
      <c r="C37" s="3"/>
    </row>
    <row r="38" ht="15.75" customHeight="1">
      <c r="B38" s="2"/>
      <c r="C38" s="3"/>
    </row>
    <row r="39" ht="15.75" customHeight="1">
      <c r="B39" s="2"/>
      <c r="C39" s="3"/>
    </row>
    <row r="40" ht="15.75" customHeight="1">
      <c r="B40" s="2"/>
      <c r="C40" s="3"/>
    </row>
    <row r="41" ht="15.75" customHeight="1">
      <c r="B41" s="2"/>
      <c r="C41" s="3"/>
    </row>
    <row r="42" ht="15.75" customHeight="1">
      <c r="B42" s="2"/>
      <c r="C42" s="3"/>
    </row>
    <row r="43" ht="15.75" customHeight="1">
      <c r="B43" s="2"/>
      <c r="C43" s="3"/>
    </row>
    <row r="44" ht="15.75" customHeight="1">
      <c r="B44" s="2"/>
      <c r="C44" s="3"/>
    </row>
    <row r="45" ht="15.75" customHeight="1">
      <c r="B45" s="2"/>
      <c r="C45" s="3"/>
    </row>
    <row r="46" ht="15.75" customHeight="1">
      <c r="B46" s="2"/>
      <c r="C46" s="3"/>
    </row>
    <row r="47" ht="15.75" customHeight="1">
      <c r="B47" s="2"/>
      <c r="C47" s="3"/>
    </row>
    <row r="48" ht="15.75" customHeight="1">
      <c r="B48" s="2"/>
      <c r="C48" s="3"/>
    </row>
    <row r="49" ht="15.75" customHeight="1">
      <c r="B49" s="2"/>
      <c r="C49" s="3"/>
    </row>
    <row r="50" ht="15.75" customHeight="1">
      <c r="B50" s="2"/>
      <c r="C50" s="3"/>
    </row>
    <row r="51" ht="15.75" customHeight="1">
      <c r="B51" s="2"/>
      <c r="C51" s="3"/>
    </row>
    <row r="52" ht="15.75" customHeight="1">
      <c r="B52" s="2"/>
      <c r="C52" s="3"/>
    </row>
    <row r="53" ht="15.75" customHeight="1">
      <c r="B53" s="2"/>
      <c r="C53" s="3"/>
    </row>
    <row r="54" ht="15.75" customHeight="1">
      <c r="B54" s="2"/>
      <c r="C54" s="3"/>
    </row>
    <row r="55" ht="15.75" customHeight="1">
      <c r="B55" s="2"/>
      <c r="C55" s="3"/>
    </row>
    <row r="56" ht="15.75" customHeight="1">
      <c r="B56" s="2"/>
      <c r="C56" s="3"/>
    </row>
    <row r="57" ht="15.75" customHeight="1">
      <c r="B57" s="2"/>
      <c r="C57" s="3"/>
    </row>
    <row r="58" ht="15.75" customHeight="1">
      <c r="B58" s="2"/>
      <c r="C58" s="3"/>
    </row>
    <row r="59" ht="15.75" customHeight="1">
      <c r="B59" s="2"/>
      <c r="C59" s="3"/>
    </row>
    <row r="60" ht="15.75" customHeight="1">
      <c r="B60" s="2"/>
      <c r="C60" s="3"/>
    </row>
    <row r="61" ht="15.75" customHeight="1">
      <c r="B61" s="2"/>
      <c r="C61" s="3"/>
    </row>
    <row r="62" ht="15.75" customHeight="1">
      <c r="B62" s="2"/>
      <c r="C62" s="3"/>
    </row>
    <row r="63" ht="15.75" customHeight="1">
      <c r="B63" s="2"/>
      <c r="C63" s="3"/>
    </row>
    <row r="64" ht="15.75" customHeight="1">
      <c r="B64" s="2"/>
      <c r="C64" s="3"/>
    </row>
    <row r="65" ht="15.75" customHeight="1">
      <c r="B65" s="2"/>
      <c r="C65" s="3"/>
    </row>
    <row r="66" ht="15.75" customHeight="1">
      <c r="B66" s="2"/>
      <c r="C66" s="3"/>
    </row>
    <row r="67" ht="15.75" customHeight="1">
      <c r="B67" s="2"/>
      <c r="C67" s="3"/>
    </row>
    <row r="68" ht="15.75" customHeight="1">
      <c r="B68" s="2"/>
      <c r="C68" s="3"/>
    </row>
    <row r="69" ht="15.75" customHeight="1">
      <c r="B69" s="2"/>
      <c r="C69" s="3"/>
    </row>
    <row r="70" ht="15.75" customHeight="1">
      <c r="B70" s="2"/>
      <c r="C70" s="3"/>
    </row>
    <row r="71" ht="15.75" customHeight="1">
      <c r="B71" s="2"/>
      <c r="C71" s="3"/>
    </row>
    <row r="72" ht="15.75" customHeight="1">
      <c r="B72" s="2"/>
      <c r="C72" s="3"/>
    </row>
    <row r="73" ht="15.75" customHeight="1">
      <c r="B73" s="2"/>
      <c r="C73" s="3"/>
    </row>
    <row r="74" ht="15.75" customHeight="1">
      <c r="B74" s="2"/>
      <c r="C74" s="3"/>
    </row>
    <row r="75" ht="15.75" customHeight="1">
      <c r="B75" s="2"/>
      <c r="C75" s="3"/>
    </row>
    <row r="76" ht="15.75" customHeight="1">
      <c r="B76" s="2"/>
      <c r="C76" s="3"/>
    </row>
    <row r="77" ht="15.75" customHeight="1">
      <c r="B77" s="2"/>
      <c r="C77" s="3"/>
    </row>
    <row r="78" ht="15.75" customHeight="1">
      <c r="B78" s="2"/>
      <c r="C78" s="3"/>
    </row>
    <row r="79" ht="15.75" customHeight="1">
      <c r="B79" s="2"/>
      <c r="C79" s="3"/>
    </row>
    <row r="80" ht="15.75" customHeight="1">
      <c r="B80" s="2"/>
      <c r="C80" s="3"/>
    </row>
    <row r="81" ht="15.75" customHeight="1">
      <c r="B81" s="2"/>
      <c r="C81" s="3"/>
    </row>
    <row r="82" ht="15.75" customHeight="1">
      <c r="B82" s="2"/>
      <c r="C82" s="3"/>
    </row>
    <row r="83" ht="15.75" customHeight="1">
      <c r="B83" s="2"/>
      <c r="C83" s="3"/>
    </row>
    <row r="84" ht="15.75" customHeight="1">
      <c r="B84" s="2"/>
      <c r="C84" s="3"/>
    </row>
    <row r="85" ht="15.75" customHeight="1">
      <c r="B85" s="2"/>
      <c r="C85" s="3"/>
    </row>
    <row r="86" ht="15.75" customHeight="1">
      <c r="B86" s="2"/>
      <c r="C86" s="3"/>
    </row>
    <row r="87" ht="15.75" customHeight="1">
      <c r="B87" s="2"/>
      <c r="C87" s="3"/>
    </row>
    <row r="88" ht="15.75" customHeight="1">
      <c r="B88" s="2"/>
      <c r="C88" s="3"/>
    </row>
    <row r="89" ht="15.75" customHeight="1">
      <c r="B89" s="2"/>
      <c r="C89" s="3"/>
    </row>
    <row r="90" ht="15.75" customHeight="1">
      <c r="B90" s="2"/>
      <c r="C90" s="3"/>
    </row>
    <row r="91" ht="15.75" customHeight="1">
      <c r="B91" s="2"/>
      <c r="C91" s="3"/>
    </row>
    <row r="92" ht="15.75" customHeight="1">
      <c r="B92" s="2"/>
      <c r="C92" s="3"/>
    </row>
    <row r="93" ht="15.75" customHeight="1">
      <c r="B93" s="2"/>
      <c r="C93" s="3"/>
    </row>
    <row r="94" ht="15.75" customHeight="1">
      <c r="B94" s="2"/>
      <c r="C94" s="3"/>
    </row>
    <row r="95" ht="15.75" customHeight="1">
      <c r="B95" s="2"/>
      <c r="C95" s="3"/>
    </row>
    <row r="96" ht="15.75" customHeight="1">
      <c r="B96" s="2"/>
      <c r="C96" s="3"/>
    </row>
    <row r="97" ht="15.75" customHeight="1">
      <c r="B97" s="2"/>
      <c r="C97" s="3"/>
    </row>
    <row r="98" ht="15.75" customHeight="1">
      <c r="B98" s="2"/>
      <c r="C98" s="3"/>
    </row>
    <row r="99" ht="15.75" customHeight="1">
      <c r="B99" s="2"/>
      <c r="C99" s="3"/>
    </row>
    <row r="100" ht="15.75" customHeight="1">
      <c r="B100" s="2"/>
      <c r="C100" s="3"/>
    </row>
    <row r="101" ht="15.75" customHeight="1">
      <c r="B101" s="2"/>
      <c r="C101" s="3"/>
    </row>
    <row r="102" ht="15.75" customHeight="1">
      <c r="B102" s="2"/>
      <c r="C102" s="3"/>
    </row>
    <row r="103" ht="15.75" customHeight="1">
      <c r="B103" s="2"/>
      <c r="C103" s="3"/>
    </row>
    <row r="104" ht="15.75" customHeight="1">
      <c r="B104" s="2"/>
      <c r="C104" s="3"/>
    </row>
    <row r="105" ht="15.75" customHeight="1">
      <c r="B105" s="2"/>
      <c r="C105" s="3"/>
    </row>
    <row r="106" ht="15.75" customHeight="1">
      <c r="B106" s="2"/>
      <c r="C106" s="3"/>
    </row>
    <row r="107" ht="15.75" customHeight="1">
      <c r="B107" s="2"/>
      <c r="C107" s="3"/>
    </row>
    <row r="108" ht="15.75" customHeight="1">
      <c r="B108" s="2"/>
      <c r="C108" s="3"/>
    </row>
    <row r="109" ht="15.75" customHeight="1">
      <c r="B109" s="2"/>
      <c r="C109" s="3"/>
    </row>
    <row r="110" ht="15.75" customHeight="1">
      <c r="B110" s="2"/>
      <c r="C110" s="3"/>
    </row>
    <row r="111" ht="15.75" customHeight="1">
      <c r="B111" s="2"/>
      <c r="C111" s="3"/>
    </row>
    <row r="112" ht="15.75" customHeight="1">
      <c r="B112" s="2"/>
      <c r="C112" s="3"/>
    </row>
    <row r="113" ht="15.75" customHeight="1">
      <c r="B113" s="2"/>
      <c r="C113" s="3"/>
    </row>
    <row r="114" ht="15.75" customHeight="1">
      <c r="B114" s="2"/>
      <c r="C114" s="3"/>
    </row>
    <row r="115" ht="15.75" customHeight="1">
      <c r="B115" s="2"/>
      <c r="C115" s="3"/>
    </row>
    <row r="116" ht="15.75" customHeight="1">
      <c r="B116" s="2"/>
      <c r="C116" s="3"/>
    </row>
    <row r="117" ht="15.75" customHeight="1">
      <c r="B117" s="2"/>
      <c r="C117" s="3"/>
    </row>
    <row r="118" ht="15.75" customHeight="1">
      <c r="B118" s="2"/>
      <c r="C118" s="3"/>
    </row>
    <row r="119" ht="15.75" customHeight="1">
      <c r="B119" s="2"/>
      <c r="C119" s="3"/>
    </row>
    <row r="120" ht="15.75" customHeight="1">
      <c r="B120" s="2"/>
      <c r="C120" s="3"/>
    </row>
    <row r="121" ht="15.75" customHeight="1">
      <c r="B121" s="2"/>
      <c r="C121" s="3"/>
    </row>
    <row r="122" ht="15.75" customHeight="1">
      <c r="B122" s="2"/>
      <c r="C122" s="3"/>
    </row>
    <row r="123" ht="15.75" customHeight="1">
      <c r="B123" s="2"/>
      <c r="C123" s="3"/>
    </row>
    <row r="124" ht="15.75" customHeight="1">
      <c r="B124" s="2"/>
      <c r="C124" s="3"/>
    </row>
    <row r="125" ht="15.75" customHeight="1">
      <c r="B125" s="2"/>
      <c r="C125" s="3"/>
    </row>
    <row r="126" ht="15.75" customHeight="1">
      <c r="B126" s="2"/>
      <c r="C126" s="3"/>
    </row>
    <row r="127" ht="15.75" customHeight="1">
      <c r="B127" s="2"/>
      <c r="C127" s="3"/>
    </row>
    <row r="128" ht="15.75" customHeight="1">
      <c r="B128" s="2"/>
      <c r="C128" s="3"/>
    </row>
    <row r="129" ht="15.75" customHeight="1">
      <c r="B129" s="2"/>
      <c r="C129" s="3"/>
    </row>
    <row r="130" ht="15.75" customHeight="1">
      <c r="B130" s="2"/>
      <c r="C130" s="3"/>
    </row>
    <row r="131" ht="15.75" customHeight="1">
      <c r="B131" s="2"/>
      <c r="C131" s="3"/>
    </row>
    <row r="132" ht="15.75" customHeight="1">
      <c r="B132" s="2"/>
      <c r="C132" s="3"/>
    </row>
    <row r="133" ht="15.75" customHeight="1">
      <c r="B133" s="2"/>
      <c r="C133" s="3"/>
    </row>
    <row r="134" ht="15.75" customHeight="1">
      <c r="B134" s="2"/>
      <c r="C134" s="3"/>
    </row>
    <row r="135" ht="15.75" customHeight="1">
      <c r="B135" s="2"/>
      <c r="C135" s="3"/>
    </row>
    <row r="136" ht="15.75" customHeight="1">
      <c r="B136" s="2"/>
      <c r="C136" s="3"/>
    </row>
    <row r="137" ht="15.75" customHeight="1">
      <c r="B137" s="2"/>
      <c r="C137" s="3"/>
    </row>
    <row r="138" ht="15.75" customHeight="1">
      <c r="B138" s="2"/>
      <c r="C138" s="3"/>
    </row>
    <row r="139" ht="15.75" customHeight="1">
      <c r="B139" s="2"/>
      <c r="C139" s="3"/>
    </row>
    <row r="140" ht="15.75" customHeight="1">
      <c r="B140" s="2"/>
      <c r="C140" s="3"/>
    </row>
    <row r="141" ht="15.75" customHeight="1">
      <c r="B141" s="2"/>
      <c r="C141" s="3"/>
    </row>
    <row r="142" ht="15.75" customHeight="1">
      <c r="B142" s="2"/>
      <c r="C142" s="3"/>
    </row>
    <row r="143" ht="15.75" customHeight="1">
      <c r="B143" s="2"/>
      <c r="C143" s="3"/>
    </row>
    <row r="144" ht="15.75" customHeight="1">
      <c r="B144" s="2"/>
      <c r="C144" s="3"/>
    </row>
    <row r="145" ht="15.75" customHeight="1">
      <c r="B145" s="2"/>
      <c r="C145" s="3"/>
    </row>
    <row r="146" ht="15.75" customHeight="1">
      <c r="B146" s="2"/>
      <c r="C146" s="3"/>
    </row>
    <row r="147" ht="15.75" customHeight="1">
      <c r="B147" s="2"/>
      <c r="C147" s="3"/>
    </row>
    <row r="148" ht="15.75" customHeight="1">
      <c r="B148" s="2"/>
      <c r="C148" s="3"/>
    </row>
    <row r="149" ht="15.75" customHeight="1">
      <c r="B149" s="2"/>
      <c r="C149" s="3"/>
    </row>
    <row r="150" ht="15.75" customHeight="1">
      <c r="B150" s="2"/>
      <c r="C150" s="3"/>
    </row>
    <row r="151" ht="15.75" customHeight="1">
      <c r="B151" s="2"/>
      <c r="C151" s="3"/>
    </row>
    <row r="152" ht="15.75" customHeight="1">
      <c r="B152" s="2"/>
      <c r="C152" s="3"/>
    </row>
    <row r="153" ht="15.75" customHeight="1">
      <c r="B153" s="2"/>
      <c r="C153" s="3"/>
    </row>
    <row r="154" ht="15.75" customHeight="1">
      <c r="B154" s="2"/>
      <c r="C154" s="3"/>
    </row>
    <row r="155" ht="15.75" customHeight="1">
      <c r="B155" s="2"/>
      <c r="C155" s="3"/>
    </row>
    <row r="156" ht="15.75" customHeight="1">
      <c r="B156" s="2"/>
      <c r="C156" s="3"/>
    </row>
    <row r="157" ht="15.75" customHeight="1">
      <c r="B157" s="2"/>
      <c r="C157" s="3"/>
    </row>
    <row r="158" ht="15.75" customHeight="1">
      <c r="B158" s="2"/>
      <c r="C158" s="3"/>
    </row>
    <row r="159" ht="15.75" customHeight="1">
      <c r="B159" s="2"/>
      <c r="C159" s="3"/>
    </row>
    <row r="160" ht="15.75" customHeight="1">
      <c r="B160" s="2"/>
      <c r="C160" s="3"/>
    </row>
    <row r="161" ht="15.75" customHeight="1">
      <c r="B161" s="2"/>
      <c r="C161" s="3"/>
    </row>
    <row r="162" ht="15.75" customHeight="1">
      <c r="B162" s="2"/>
      <c r="C162" s="3"/>
    </row>
    <row r="163" ht="15.75" customHeight="1">
      <c r="B163" s="2"/>
      <c r="C163" s="3"/>
    </row>
    <row r="164" ht="15.75" customHeight="1">
      <c r="B164" s="2"/>
      <c r="C164" s="3"/>
    </row>
    <row r="165" ht="15.75" customHeight="1">
      <c r="B165" s="2"/>
      <c r="C165" s="3"/>
    </row>
    <row r="166" ht="15.75" customHeight="1">
      <c r="B166" s="2"/>
      <c r="C166" s="3"/>
    </row>
    <row r="167" ht="15.75" customHeight="1">
      <c r="B167" s="2"/>
      <c r="C167" s="3"/>
    </row>
    <row r="168" ht="15.75" customHeight="1">
      <c r="B168" s="2"/>
      <c r="C168" s="3"/>
    </row>
    <row r="169" ht="15.75" customHeight="1">
      <c r="B169" s="2"/>
      <c r="C169" s="3"/>
    </row>
    <row r="170" ht="15.75" customHeight="1">
      <c r="B170" s="2"/>
      <c r="C170" s="3"/>
    </row>
    <row r="171" ht="15.75" customHeight="1">
      <c r="B171" s="2"/>
      <c r="C171" s="3"/>
    </row>
    <row r="172" ht="15.75" customHeight="1">
      <c r="B172" s="2"/>
      <c r="C172" s="3"/>
    </row>
    <row r="173" ht="15.75" customHeight="1">
      <c r="B173" s="2"/>
      <c r="C173" s="3"/>
    </row>
    <row r="174" ht="15.75" customHeight="1">
      <c r="B174" s="2"/>
      <c r="C174" s="3"/>
    </row>
    <row r="175" ht="15.75" customHeight="1">
      <c r="B175" s="2"/>
      <c r="C175" s="3"/>
    </row>
    <row r="176" ht="15.75" customHeight="1">
      <c r="B176" s="2"/>
      <c r="C176" s="3"/>
    </row>
    <row r="177" ht="15.75" customHeight="1">
      <c r="B177" s="2"/>
      <c r="C177" s="3"/>
    </row>
    <row r="178" ht="15.75" customHeight="1">
      <c r="B178" s="2"/>
      <c r="C178" s="3"/>
    </row>
    <row r="179" ht="15.75" customHeight="1">
      <c r="B179" s="2"/>
      <c r="C179" s="3"/>
    </row>
    <row r="180" ht="15.75" customHeight="1">
      <c r="B180" s="2"/>
      <c r="C180" s="3"/>
    </row>
    <row r="181" ht="15.75" customHeight="1">
      <c r="B181" s="2"/>
      <c r="C181" s="3"/>
    </row>
    <row r="182" ht="15.75" customHeight="1">
      <c r="B182" s="2"/>
      <c r="C182" s="3"/>
    </row>
    <row r="183" ht="15.75" customHeight="1">
      <c r="B183" s="2"/>
      <c r="C183" s="3"/>
    </row>
    <row r="184" ht="15.75" customHeight="1">
      <c r="B184" s="2"/>
      <c r="C184" s="3"/>
    </row>
    <row r="185" ht="15.75" customHeight="1">
      <c r="B185" s="2"/>
      <c r="C185" s="3"/>
    </row>
    <row r="186" ht="15.75" customHeight="1">
      <c r="B186" s="2"/>
      <c r="C186" s="3"/>
    </row>
    <row r="187" ht="15.75" customHeight="1">
      <c r="B187" s="2"/>
      <c r="C187" s="3"/>
    </row>
    <row r="188" ht="15.75" customHeight="1">
      <c r="B188" s="2"/>
      <c r="C188" s="3"/>
    </row>
    <row r="189" ht="15.75" customHeight="1">
      <c r="B189" s="2"/>
      <c r="C189" s="3"/>
    </row>
    <row r="190" ht="15.75" customHeight="1">
      <c r="B190" s="2"/>
      <c r="C190" s="3"/>
    </row>
    <row r="191" ht="15.75" customHeight="1">
      <c r="B191" s="2"/>
      <c r="C191" s="3"/>
    </row>
    <row r="192" ht="15.75" customHeight="1">
      <c r="B192" s="2"/>
      <c r="C192" s="3"/>
    </row>
    <row r="193" ht="15.75" customHeight="1">
      <c r="B193" s="2"/>
      <c r="C193" s="3"/>
    </row>
    <row r="194" ht="15.75" customHeight="1">
      <c r="B194" s="2"/>
      <c r="C194" s="3"/>
    </row>
    <row r="195" ht="15.75" customHeight="1">
      <c r="B195" s="2"/>
      <c r="C195" s="3"/>
    </row>
    <row r="196" ht="15.75" customHeight="1">
      <c r="B196" s="2"/>
      <c r="C196" s="3"/>
    </row>
    <row r="197" ht="15.75" customHeight="1">
      <c r="B197" s="2"/>
      <c r="C197" s="3"/>
    </row>
    <row r="198" ht="15.75" customHeight="1">
      <c r="B198" s="2"/>
      <c r="C198" s="3"/>
    </row>
    <row r="199" ht="15.75" customHeight="1">
      <c r="B199" s="2"/>
      <c r="C199" s="3"/>
    </row>
    <row r="200" ht="15.75" customHeight="1">
      <c r="B200" s="2"/>
      <c r="C200" s="3"/>
    </row>
    <row r="201" ht="15.75" customHeight="1">
      <c r="B201" s="2"/>
      <c r="C201" s="3"/>
    </row>
    <row r="202" ht="15.75" customHeight="1">
      <c r="B202" s="2"/>
      <c r="C202" s="3"/>
    </row>
    <row r="203" ht="15.75" customHeight="1">
      <c r="B203" s="2"/>
      <c r="C203" s="3"/>
    </row>
    <row r="204" ht="15.75" customHeight="1">
      <c r="B204" s="2"/>
      <c r="C204" s="3"/>
    </row>
    <row r="205" ht="15.75" customHeight="1">
      <c r="B205" s="2"/>
      <c r="C205" s="3"/>
    </row>
    <row r="206" ht="15.75" customHeight="1">
      <c r="B206" s="2"/>
      <c r="C206" s="3"/>
    </row>
    <row r="207" ht="15.75" customHeight="1">
      <c r="B207" s="2"/>
      <c r="C207" s="3"/>
    </row>
    <row r="208" ht="15.75" customHeight="1">
      <c r="B208" s="2"/>
      <c r="C208" s="3"/>
    </row>
    <row r="209" ht="15.75" customHeight="1">
      <c r="B209" s="2"/>
      <c r="C209" s="3"/>
    </row>
    <row r="210" ht="15.75" customHeight="1">
      <c r="B210" s="2"/>
      <c r="C210" s="3"/>
    </row>
    <row r="211" ht="15.75" customHeight="1">
      <c r="B211" s="2"/>
      <c r="C211" s="3"/>
    </row>
    <row r="212" ht="15.75" customHeight="1">
      <c r="B212" s="2"/>
      <c r="C212" s="3"/>
    </row>
    <row r="213" ht="15.75" customHeight="1">
      <c r="B213" s="2"/>
      <c r="C213" s="3"/>
    </row>
    <row r="214" ht="15.75" customHeight="1">
      <c r="B214" s="2"/>
      <c r="C214" s="3"/>
    </row>
    <row r="215" ht="15.75" customHeight="1">
      <c r="B215" s="2"/>
      <c r="C215" s="3"/>
    </row>
    <row r="216" ht="15.75" customHeight="1">
      <c r="B216" s="2"/>
      <c r="C216" s="3"/>
    </row>
    <row r="217" ht="15.75" customHeight="1">
      <c r="B217" s="2"/>
      <c r="C217" s="3"/>
    </row>
    <row r="218" ht="15.75" customHeight="1">
      <c r="B218" s="2"/>
      <c r="C218" s="3"/>
    </row>
    <row r="219" ht="15.75" customHeight="1">
      <c r="B219" s="2"/>
      <c r="C219" s="3"/>
    </row>
    <row r="220" ht="15.75" customHeight="1">
      <c r="B220" s="2"/>
      <c r="C220" s="3"/>
    </row>
    <row r="221" ht="15.75" customHeight="1">
      <c r="B221" s="2"/>
      <c r="C221" s="3"/>
    </row>
    <row r="222" ht="15.75" customHeight="1">
      <c r="B222" s="2"/>
      <c r="C222" s="3"/>
    </row>
    <row r="223" ht="15.75" customHeight="1">
      <c r="B223" s="2"/>
      <c r="C223" s="3"/>
    </row>
    <row r="224" ht="15.75" customHeight="1">
      <c r="C224" s="3"/>
    </row>
    <row r="225" ht="15.75" customHeight="1">
      <c r="C225" s="3"/>
    </row>
    <row r="226" ht="15.75" customHeight="1">
      <c r="C226" s="3"/>
    </row>
    <row r="227" ht="15.75" customHeight="1">
      <c r="C227" s="3"/>
    </row>
    <row r="228" ht="15.75" customHeight="1">
      <c r="C228" s="3"/>
    </row>
    <row r="229" ht="15.75" customHeight="1">
      <c r="C229" s="3"/>
    </row>
    <row r="230" ht="15.75" customHeight="1">
      <c r="C230" s="3"/>
    </row>
    <row r="231" ht="15.75" customHeight="1">
      <c r="C231" s="3"/>
    </row>
    <row r="232" ht="15.75" customHeight="1">
      <c r="C232" s="3"/>
    </row>
    <row r="233" ht="15.75" customHeight="1">
      <c r="C233" s="3"/>
    </row>
    <row r="234" ht="15.75" customHeight="1">
      <c r="C234" s="3"/>
    </row>
    <row r="235" ht="15.75" customHeight="1">
      <c r="C235" s="3"/>
    </row>
    <row r="236" ht="15.75" customHeight="1">
      <c r="C236" s="3"/>
    </row>
    <row r="237" ht="15.75" customHeight="1">
      <c r="C237" s="3"/>
    </row>
    <row r="238" ht="15.75" customHeight="1">
      <c r="C238" s="3"/>
    </row>
    <row r="239" ht="15.75" customHeight="1">
      <c r="C239" s="3"/>
    </row>
    <row r="240" ht="15.75" customHeight="1">
      <c r="C240" s="3"/>
    </row>
    <row r="241" ht="15.75" customHeight="1">
      <c r="C241" s="3"/>
    </row>
    <row r="242" ht="15.75" customHeight="1">
      <c r="C242" s="3"/>
    </row>
    <row r="243" ht="15.75" customHeight="1">
      <c r="C243" s="3"/>
    </row>
    <row r="244" ht="15.75" customHeight="1">
      <c r="C244" s="3"/>
    </row>
    <row r="245" ht="15.75" customHeight="1">
      <c r="C245" s="3"/>
    </row>
    <row r="246" ht="15.75" customHeight="1">
      <c r="C246" s="3"/>
    </row>
    <row r="247" ht="15.75" customHeight="1">
      <c r="C247" s="3"/>
    </row>
    <row r="248" ht="15.75" customHeight="1">
      <c r="C248" s="3"/>
    </row>
    <row r="249" ht="15.75" customHeight="1">
      <c r="C249" s="3"/>
    </row>
    <row r="250" ht="15.75" customHeight="1">
      <c r="C250" s="3"/>
    </row>
    <row r="251" ht="15.75" customHeight="1">
      <c r="C251" s="3"/>
    </row>
    <row r="252" ht="15.75" customHeight="1">
      <c r="C252" s="3"/>
    </row>
    <row r="253" ht="15.75" customHeight="1">
      <c r="C253" s="3"/>
    </row>
    <row r="254" ht="15.75" customHeight="1">
      <c r="C254" s="3"/>
    </row>
    <row r="255" ht="15.75" customHeight="1">
      <c r="C255" s="3"/>
    </row>
    <row r="256" ht="15.75" customHeight="1">
      <c r="C256" s="3"/>
    </row>
    <row r="257" ht="15.75" customHeight="1">
      <c r="C257" s="3"/>
    </row>
    <row r="258" ht="15.75" customHeight="1">
      <c r="C258" s="3"/>
    </row>
    <row r="259" ht="15.75" customHeight="1">
      <c r="C259" s="3"/>
    </row>
    <row r="260" ht="15.75" customHeight="1">
      <c r="C260" s="3"/>
    </row>
    <row r="261" ht="15.75" customHeight="1">
      <c r="C261" s="3"/>
    </row>
    <row r="262" ht="15.75" customHeight="1">
      <c r="C262" s="3"/>
    </row>
    <row r="263" ht="15.75" customHeight="1">
      <c r="C263" s="3"/>
    </row>
    <row r="264" ht="15.75" customHeight="1">
      <c r="C264" s="3"/>
    </row>
    <row r="265" ht="15.75" customHeight="1">
      <c r="C265" s="3"/>
    </row>
    <row r="266" ht="15.75" customHeight="1">
      <c r="C266" s="3"/>
    </row>
    <row r="267" ht="15.75" customHeight="1">
      <c r="C267" s="3"/>
    </row>
    <row r="268" ht="15.75" customHeight="1">
      <c r="C268" s="3"/>
    </row>
    <row r="269" ht="15.75" customHeight="1">
      <c r="C269" s="3"/>
    </row>
    <row r="270" ht="15.75" customHeight="1">
      <c r="C270" s="3"/>
    </row>
    <row r="271" ht="15.75" customHeight="1">
      <c r="C271" s="3"/>
    </row>
    <row r="272" ht="15.75" customHeight="1">
      <c r="C272" s="3"/>
    </row>
    <row r="273" ht="15.75" customHeight="1">
      <c r="C273" s="3"/>
    </row>
    <row r="274" ht="15.75" customHeight="1">
      <c r="C274" s="3"/>
    </row>
    <row r="275" ht="15.75" customHeight="1">
      <c r="C275" s="3"/>
    </row>
    <row r="276" ht="15.75" customHeight="1">
      <c r="C276" s="3"/>
    </row>
    <row r="277" ht="15.75" customHeight="1">
      <c r="C277" s="3"/>
    </row>
    <row r="278" ht="15.75" customHeight="1">
      <c r="C278" s="3"/>
    </row>
    <row r="279" ht="15.75" customHeight="1">
      <c r="C279" s="3"/>
    </row>
    <row r="280" ht="15.75" customHeight="1">
      <c r="C280" s="3"/>
    </row>
    <row r="281" ht="15.75" customHeight="1">
      <c r="C281" s="3"/>
    </row>
    <row r="282" ht="15.75" customHeight="1">
      <c r="C282" s="3"/>
    </row>
    <row r="283" ht="15.75" customHeight="1">
      <c r="C283" s="3"/>
    </row>
    <row r="284" ht="15.75" customHeight="1">
      <c r="C284" s="3"/>
    </row>
    <row r="285" ht="15.75" customHeight="1">
      <c r="C285" s="3"/>
    </row>
    <row r="286" ht="15.75" customHeight="1">
      <c r="C286" s="3"/>
    </row>
    <row r="287" ht="15.75" customHeight="1">
      <c r="C287" s="3"/>
    </row>
    <row r="288" ht="15.75" customHeight="1">
      <c r="C288" s="3"/>
    </row>
    <row r="289" ht="15.75" customHeight="1">
      <c r="C289" s="3"/>
    </row>
    <row r="290" ht="15.75" customHeight="1">
      <c r="C290" s="3"/>
    </row>
    <row r="291" ht="15.75" customHeight="1">
      <c r="C291" s="3"/>
    </row>
    <row r="292" ht="15.75" customHeight="1">
      <c r="C292" s="3"/>
    </row>
    <row r="293" ht="15.75" customHeight="1">
      <c r="C293" s="3"/>
    </row>
    <row r="294" ht="15.75" customHeight="1">
      <c r="C294" s="3"/>
    </row>
    <row r="295" ht="15.75" customHeight="1">
      <c r="C295" s="3"/>
    </row>
    <row r="296" ht="15.75" customHeight="1">
      <c r="C296" s="3"/>
    </row>
    <row r="297" ht="15.75" customHeight="1">
      <c r="C297" s="3"/>
    </row>
    <row r="298" ht="15.75" customHeight="1">
      <c r="C298" s="3"/>
    </row>
    <row r="299" ht="15.75" customHeight="1">
      <c r="C299" s="3"/>
    </row>
    <row r="300" ht="15.75" customHeight="1">
      <c r="C300" s="3"/>
    </row>
    <row r="301" ht="15.75" customHeight="1">
      <c r="C301" s="3"/>
    </row>
    <row r="302" ht="15.75" customHeight="1">
      <c r="C302" s="3"/>
    </row>
    <row r="303" ht="15.75" customHeight="1">
      <c r="C303" s="3"/>
    </row>
    <row r="304" ht="15.75" customHeight="1">
      <c r="C304" s="3"/>
    </row>
    <row r="305" ht="15.75" customHeight="1">
      <c r="C305" s="3"/>
    </row>
    <row r="306" ht="15.75" customHeight="1">
      <c r="C306" s="3"/>
    </row>
    <row r="307" ht="15.75" customHeight="1">
      <c r="C307" s="3"/>
    </row>
    <row r="308" ht="15.75" customHeight="1">
      <c r="C308" s="3"/>
    </row>
    <row r="309" ht="15.75" customHeight="1">
      <c r="C309" s="3"/>
    </row>
    <row r="310" ht="15.75" customHeight="1">
      <c r="C310" s="3"/>
    </row>
    <row r="311" ht="15.75" customHeight="1">
      <c r="C311" s="3"/>
    </row>
    <row r="312" ht="15.75" customHeight="1">
      <c r="C312" s="3"/>
    </row>
    <row r="313" ht="15.75" customHeight="1">
      <c r="C313" s="3"/>
    </row>
    <row r="314" ht="15.75" customHeight="1">
      <c r="C314" s="3"/>
    </row>
    <row r="315" ht="15.75" customHeight="1">
      <c r="C315" s="3"/>
    </row>
    <row r="316" ht="15.75" customHeight="1">
      <c r="C316" s="3"/>
    </row>
    <row r="317" ht="15.75" customHeight="1">
      <c r="C317" s="3"/>
    </row>
    <row r="318" ht="15.75" customHeight="1">
      <c r="C318" s="3"/>
    </row>
    <row r="319" ht="15.75" customHeight="1">
      <c r="C319" s="3"/>
    </row>
    <row r="320" ht="15.75" customHeight="1">
      <c r="C320" s="3"/>
    </row>
    <row r="321" ht="15.75" customHeight="1">
      <c r="C321" s="3"/>
    </row>
    <row r="322" ht="15.75" customHeight="1">
      <c r="C322" s="3"/>
    </row>
    <row r="323" ht="15.75" customHeight="1">
      <c r="C323" s="3"/>
    </row>
    <row r="324" ht="15.75" customHeight="1">
      <c r="C324" s="3"/>
    </row>
    <row r="325" ht="15.75" customHeight="1">
      <c r="C325" s="3"/>
    </row>
    <row r="326" ht="15.75" customHeight="1">
      <c r="C326" s="3"/>
    </row>
    <row r="327" ht="15.75" customHeight="1">
      <c r="C327" s="3"/>
    </row>
    <row r="328" ht="15.75" customHeight="1">
      <c r="C328" s="3"/>
    </row>
    <row r="329" ht="15.75" customHeight="1">
      <c r="C329" s="3"/>
    </row>
    <row r="330" ht="15.75" customHeight="1">
      <c r="C330" s="3"/>
    </row>
    <row r="331" ht="15.75" customHeight="1">
      <c r="C331" s="3"/>
    </row>
    <row r="332" ht="15.75" customHeight="1">
      <c r="C332" s="3"/>
    </row>
    <row r="333" ht="15.75" customHeight="1">
      <c r="C333" s="3"/>
    </row>
    <row r="334" ht="15.75" customHeight="1">
      <c r="C334" s="3"/>
    </row>
    <row r="335" ht="15.75" customHeight="1">
      <c r="C335" s="3"/>
    </row>
    <row r="336" ht="15.75" customHeight="1">
      <c r="C336" s="3"/>
    </row>
    <row r="337" ht="15.75" customHeight="1">
      <c r="C337" s="3"/>
    </row>
    <row r="338" ht="15.75" customHeight="1">
      <c r="C338" s="3"/>
    </row>
    <row r="339" ht="15.75" customHeight="1">
      <c r="C339" s="3"/>
    </row>
    <row r="340" ht="15.75" customHeight="1">
      <c r="C340" s="3"/>
    </row>
    <row r="341" ht="15.75" customHeight="1">
      <c r="C341" s="3"/>
    </row>
    <row r="342" ht="15.75" customHeight="1">
      <c r="C342" s="3"/>
    </row>
    <row r="343" ht="15.75" customHeight="1">
      <c r="C343" s="3"/>
    </row>
    <row r="344" ht="15.75" customHeight="1">
      <c r="C344" s="3"/>
    </row>
    <row r="345" ht="15.75" customHeight="1">
      <c r="C345" s="3"/>
    </row>
    <row r="346" ht="15.75" customHeight="1">
      <c r="C346" s="3"/>
    </row>
    <row r="347" ht="15.75" customHeight="1">
      <c r="C347" s="3"/>
    </row>
    <row r="348" ht="15.75" customHeight="1">
      <c r="C348" s="3"/>
    </row>
    <row r="349" ht="15.75" customHeight="1">
      <c r="C349" s="3"/>
    </row>
    <row r="350" ht="15.75" customHeight="1">
      <c r="C350" s="3"/>
    </row>
    <row r="351" ht="15.75" customHeight="1">
      <c r="C351" s="3"/>
    </row>
    <row r="352" ht="15.75" customHeight="1">
      <c r="C352" s="3"/>
    </row>
    <row r="353" ht="15.75" customHeight="1">
      <c r="C353" s="3"/>
    </row>
    <row r="354" ht="15.75" customHeight="1">
      <c r="C354" s="3"/>
    </row>
    <row r="355" ht="15.75" customHeight="1">
      <c r="C355" s="3"/>
    </row>
    <row r="356" ht="15.75" customHeight="1">
      <c r="C356" s="3"/>
    </row>
    <row r="357" ht="15.75" customHeight="1">
      <c r="C357" s="3"/>
    </row>
    <row r="358" ht="15.75" customHeight="1">
      <c r="C358" s="3"/>
    </row>
    <row r="359" ht="15.75" customHeight="1">
      <c r="C359" s="3"/>
    </row>
    <row r="360" ht="15.75" customHeight="1">
      <c r="C360" s="3"/>
    </row>
    <row r="361" ht="15.75" customHeight="1">
      <c r="C361" s="3"/>
    </row>
    <row r="362" ht="15.75" customHeight="1">
      <c r="C362" s="3"/>
    </row>
    <row r="363" ht="15.75" customHeight="1">
      <c r="C363" s="3"/>
    </row>
    <row r="364" ht="15.75" customHeight="1">
      <c r="C364" s="3"/>
    </row>
    <row r="365" ht="15.75" customHeight="1">
      <c r="C365" s="3"/>
    </row>
    <row r="366" ht="15.75" customHeight="1">
      <c r="C366" s="3"/>
    </row>
    <row r="367" ht="15.75" customHeight="1">
      <c r="C367" s="3"/>
    </row>
    <row r="368" ht="15.75" customHeight="1">
      <c r="C368" s="3"/>
    </row>
    <row r="369" ht="15.75" customHeight="1">
      <c r="C369" s="3"/>
    </row>
    <row r="370" ht="15.75" customHeight="1">
      <c r="C370" s="3"/>
    </row>
    <row r="371" ht="15.75" customHeight="1">
      <c r="C371" s="3"/>
    </row>
    <row r="372" ht="15.75" customHeight="1">
      <c r="C372" s="3"/>
    </row>
    <row r="373" ht="15.75" customHeight="1">
      <c r="C373" s="3"/>
    </row>
    <row r="374" ht="15.75" customHeight="1">
      <c r="C374" s="3"/>
    </row>
    <row r="375" ht="15.75" customHeight="1">
      <c r="C375" s="3"/>
    </row>
    <row r="376" ht="15.75" customHeight="1">
      <c r="C376" s="3"/>
    </row>
    <row r="377" ht="15.75" customHeight="1">
      <c r="C377" s="3"/>
    </row>
    <row r="378" ht="15.75" customHeight="1">
      <c r="C378" s="3"/>
    </row>
    <row r="379" ht="15.75" customHeight="1">
      <c r="C379" s="3"/>
    </row>
    <row r="380" ht="15.75" customHeight="1">
      <c r="C380" s="3"/>
    </row>
    <row r="381" ht="15.75" customHeight="1">
      <c r="C381" s="3"/>
    </row>
    <row r="382" ht="15.75" customHeight="1">
      <c r="C382" s="3"/>
    </row>
    <row r="383" ht="15.75" customHeight="1">
      <c r="C383" s="3"/>
    </row>
    <row r="384" ht="15.75" customHeight="1">
      <c r="C384" s="3"/>
    </row>
    <row r="385" ht="15.75" customHeight="1">
      <c r="C385" s="3"/>
    </row>
    <row r="386" ht="15.75" customHeight="1">
      <c r="C386" s="3"/>
    </row>
    <row r="387" ht="15.75" customHeight="1">
      <c r="C387" s="3"/>
    </row>
    <row r="388" ht="15.75" customHeight="1">
      <c r="C388" s="3"/>
    </row>
    <row r="389" ht="15.75" customHeight="1">
      <c r="C389" s="3"/>
    </row>
    <row r="390" ht="15.75" customHeight="1">
      <c r="C390" s="3"/>
    </row>
    <row r="391" ht="15.75" customHeight="1">
      <c r="C391" s="3"/>
    </row>
    <row r="392" ht="15.75" customHeight="1">
      <c r="C392" s="3"/>
    </row>
    <row r="393" ht="15.75" customHeight="1">
      <c r="C393" s="3"/>
    </row>
    <row r="394" ht="15.75" customHeight="1">
      <c r="C394" s="3"/>
    </row>
    <row r="395" ht="15.75" customHeight="1">
      <c r="C395" s="3"/>
    </row>
    <row r="396" ht="15.75" customHeight="1">
      <c r="C396" s="3"/>
    </row>
    <row r="397" ht="15.75" customHeight="1">
      <c r="C397" s="3"/>
    </row>
    <row r="398" ht="15.75" customHeight="1">
      <c r="C398" s="3"/>
    </row>
    <row r="399" ht="15.75" customHeight="1">
      <c r="C399" s="3"/>
    </row>
    <row r="400" ht="15.75" customHeight="1">
      <c r="C400" s="3"/>
    </row>
    <row r="401" ht="15.75" customHeight="1">
      <c r="C401" s="3"/>
    </row>
    <row r="402" ht="15.75" customHeight="1">
      <c r="C402" s="3"/>
    </row>
    <row r="403" ht="15.75" customHeight="1">
      <c r="C403" s="3"/>
    </row>
    <row r="404" ht="15.75" customHeight="1">
      <c r="C404" s="3"/>
    </row>
    <row r="405" ht="15.75" customHeight="1">
      <c r="C405" s="3"/>
    </row>
    <row r="406" ht="15.75" customHeight="1">
      <c r="C406" s="3"/>
    </row>
    <row r="407" ht="15.75" customHeight="1">
      <c r="C407" s="3"/>
    </row>
    <row r="408" ht="15.75" customHeight="1">
      <c r="C408" s="3"/>
    </row>
    <row r="409" ht="15.75" customHeight="1">
      <c r="C409" s="3"/>
    </row>
    <row r="410" ht="15.75" customHeight="1">
      <c r="C410" s="3"/>
    </row>
    <row r="411" ht="15.75" customHeight="1">
      <c r="C411" s="3"/>
    </row>
    <row r="412" ht="15.75" customHeight="1">
      <c r="C412" s="3"/>
    </row>
    <row r="413" ht="15.75" customHeight="1">
      <c r="C413" s="3"/>
    </row>
    <row r="414" ht="15.75" customHeight="1">
      <c r="C414" s="3"/>
    </row>
    <row r="415" ht="15.75" customHeight="1">
      <c r="C415" s="3"/>
    </row>
    <row r="416" ht="15.75" customHeight="1">
      <c r="C416" s="3"/>
    </row>
    <row r="417" ht="15.75" customHeight="1">
      <c r="C417" s="3"/>
    </row>
    <row r="418" ht="15.75" customHeight="1">
      <c r="C418" s="3"/>
    </row>
    <row r="419" ht="15.75" customHeight="1">
      <c r="C419" s="3"/>
    </row>
    <row r="420" ht="15.75" customHeight="1">
      <c r="C420" s="3"/>
    </row>
    <row r="421" ht="15.75" customHeight="1">
      <c r="C421" s="3"/>
    </row>
    <row r="422" ht="15.75" customHeight="1">
      <c r="C422" s="3"/>
    </row>
    <row r="423" ht="15.75" customHeight="1">
      <c r="C423" s="3"/>
    </row>
    <row r="424" ht="15.75" customHeight="1">
      <c r="C424" s="3"/>
    </row>
    <row r="425" ht="15.75" customHeight="1">
      <c r="C425" s="3"/>
    </row>
    <row r="426" ht="15.75" customHeight="1">
      <c r="C426" s="3"/>
    </row>
    <row r="427" ht="15.75" customHeight="1">
      <c r="C427" s="3"/>
    </row>
    <row r="428" ht="15.75" customHeight="1">
      <c r="C428" s="3"/>
    </row>
    <row r="429" ht="15.75" customHeight="1">
      <c r="C429" s="3"/>
    </row>
    <row r="430" ht="15.75" customHeight="1">
      <c r="C430" s="3"/>
    </row>
    <row r="431" ht="15.75" customHeight="1">
      <c r="C431" s="3"/>
    </row>
    <row r="432" ht="15.75" customHeight="1">
      <c r="C432" s="3"/>
    </row>
    <row r="433" ht="15.75" customHeight="1">
      <c r="C433" s="3"/>
    </row>
    <row r="434" ht="15.75" customHeight="1">
      <c r="C434" s="3"/>
    </row>
    <row r="435" ht="15.75" customHeight="1">
      <c r="C435" s="3"/>
    </row>
    <row r="436" ht="15.75" customHeight="1">
      <c r="C436" s="3"/>
    </row>
    <row r="437" ht="15.75" customHeight="1">
      <c r="C437" s="3"/>
    </row>
    <row r="438" ht="15.75" customHeight="1">
      <c r="C438" s="3"/>
    </row>
    <row r="439" ht="15.75" customHeight="1">
      <c r="C439" s="3"/>
    </row>
    <row r="440" ht="15.75" customHeight="1">
      <c r="C440" s="3"/>
    </row>
    <row r="441" ht="15.75" customHeight="1">
      <c r="C441" s="3"/>
    </row>
    <row r="442" ht="15.75" customHeight="1">
      <c r="C442" s="3"/>
    </row>
    <row r="443" ht="15.75" customHeight="1">
      <c r="C443" s="3"/>
    </row>
    <row r="444" ht="15.75" customHeight="1">
      <c r="C444" s="3"/>
    </row>
    <row r="445" ht="15.75" customHeight="1">
      <c r="C445" s="3"/>
    </row>
    <row r="446" ht="15.75" customHeight="1">
      <c r="C446" s="3"/>
    </row>
    <row r="447" ht="15.75" customHeight="1">
      <c r="C447" s="3"/>
    </row>
    <row r="448" ht="15.75" customHeight="1">
      <c r="C448" s="3"/>
    </row>
    <row r="449" ht="15.75" customHeight="1">
      <c r="C449" s="3"/>
    </row>
    <row r="450" ht="15.75" customHeight="1">
      <c r="C450" s="3"/>
    </row>
    <row r="451" ht="15.75" customHeight="1">
      <c r="C451" s="3"/>
    </row>
    <row r="452" ht="15.75" customHeight="1">
      <c r="C452" s="3"/>
    </row>
    <row r="453" ht="15.75" customHeight="1">
      <c r="C453" s="3"/>
    </row>
    <row r="454" ht="15.75" customHeight="1">
      <c r="C454" s="3"/>
    </row>
    <row r="455" ht="15.75" customHeight="1">
      <c r="C455" s="3"/>
    </row>
    <row r="456" ht="15.75" customHeight="1">
      <c r="C456" s="3"/>
    </row>
    <row r="457" ht="15.75" customHeight="1">
      <c r="C457" s="3"/>
    </row>
    <row r="458" ht="15.75" customHeight="1">
      <c r="C458" s="3"/>
    </row>
    <row r="459" ht="15.75" customHeight="1">
      <c r="C459" s="3"/>
    </row>
    <row r="460" ht="15.75" customHeight="1">
      <c r="C460" s="3"/>
    </row>
    <row r="461" ht="15.75" customHeight="1">
      <c r="C461" s="3"/>
    </row>
    <row r="462" ht="15.75" customHeight="1">
      <c r="C462" s="3"/>
    </row>
    <row r="463" ht="15.75" customHeight="1">
      <c r="C463" s="3"/>
    </row>
    <row r="464" ht="15.75" customHeight="1">
      <c r="C464" s="3"/>
    </row>
    <row r="465" ht="15.75" customHeight="1">
      <c r="C465" s="3"/>
    </row>
    <row r="466" ht="15.75" customHeight="1">
      <c r="C466" s="3"/>
    </row>
    <row r="467" ht="15.75" customHeight="1">
      <c r="C467" s="3"/>
    </row>
    <row r="468" ht="15.75" customHeight="1">
      <c r="C468" s="3"/>
    </row>
    <row r="469" ht="15.75" customHeight="1">
      <c r="C469" s="3"/>
    </row>
    <row r="470" ht="15.75" customHeight="1">
      <c r="C470" s="3"/>
    </row>
    <row r="471" ht="15.75" customHeight="1">
      <c r="C471" s="3"/>
    </row>
    <row r="472" ht="15.75" customHeight="1">
      <c r="C472" s="3"/>
    </row>
    <row r="473" ht="15.75" customHeight="1">
      <c r="C473" s="3"/>
    </row>
    <row r="474" ht="15.75" customHeight="1">
      <c r="C474" s="3"/>
    </row>
    <row r="475" ht="15.75" customHeight="1">
      <c r="C475" s="3"/>
    </row>
    <row r="476" ht="15.75" customHeight="1">
      <c r="C476" s="3"/>
    </row>
    <row r="477" ht="15.75" customHeight="1">
      <c r="C477" s="3"/>
    </row>
    <row r="478" ht="15.75" customHeight="1">
      <c r="C478" s="3"/>
    </row>
    <row r="479" ht="15.75" customHeight="1">
      <c r="C479" s="3"/>
    </row>
    <row r="480" ht="15.75" customHeight="1">
      <c r="C480" s="3"/>
    </row>
    <row r="481" ht="15.75" customHeight="1">
      <c r="C481" s="3"/>
    </row>
    <row r="482" ht="15.75" customHeight="1">
      <c r="C482" s="3"/>
    </row>
    <row r="483" ht="15.75" customHeight="1">
      <c r="C483" s="3"/>
    </row>
    <row r="484" ht="15.75" customHeight="1">
      <c r="C484" s="3"/>
    </row>
    <row r="485" ht="15.75" customHeight="1">
      <c r="C485" s="3"/>
    </row>
    <row r="486" ht="15.75" customHeight="1">
      <c r="C486" s="3"/>
    </row>
    <row r="487" ht="15.75" customHeight="1">
      <c r="C487" s="3"/>
    </row>
    <row r="488" ht="15.75" customHeight="1">
      <c r="C488" s="3"/>
    </row>
    <row r="489" ht="15.75" customHeight="1">
      <c r="C489" s="3"/>
    </row>
    <row r="490" ht="15.75" customHeight="1">
      <c r="C490" s="3"/>
    </row>
    <row r="491" ht="15.75" customHeight="1">
      <c r="C491" s="3"/>
    </row>
    <row r="492" ht="15.75" customHeight="1">
      <c r="C492" s="3"/>
    </row>
    <row r="493" ht="15.75" customHeight="1">
      <c r="C493" s="3"/>
    </row>
    <row r="494" ht="15.75" customHeight="1">
      <c r="C494" s="3"/>
    </row>
    <row r="495" ht="15.75" customHeight="1">
      <c r="C495" s="3"/>
    </row>
    <row r="496" ht="15.75" customHeight="1">
      <c r="C496" s="3"/>
    </row>
    <row r="497" ht="15.75" customHeight="1">
      <c r="C497" s="3"/>
    </row>
    <row r="498" ht="15.75" customHeight="1">
      <c r="C498" s="3"/>
    </row>
    <row r="499" ht="15.75" customHeight="1">
      <c r="C499" s="3"/>
    </row>
    <row r="500" ht="15.75" customHeight="1">
      <c r="C500" s="3"/>
    </row>
    <row r="501" ht="15.75" customHeight="1">
      <c r="C501" s="3"/>
    </row>
    <row r="502" ht="15.75" customHeight="1">
      <c r="C502" s="3"/>
    </row>
    <row r="503" ht="15.75" customHeight="1">
      <c r="C503" s="3"/>
    </row>
    <row r="504" ht="15.75" customHeight="1">
      <c r="C504" s="3"/>
    </row>
    <row r="505" ht="15.75" customHeight="1">
      <c r="C505" s="3"/>
    </row>
    <row r="506" ht="15.75" customHeight="1">
      <c r="C506" s="3"/>
    </row>
    <row r="507" ht="15.75" customHeight="1">
      <c r="C507" s="3"/>
    </row>
    <row r="508" ht="15.75" customHeight="1">
      <c r="C508" s="3"/>
    </row>
    <row r="509" ht="15.75" customHeight="1">
      <c r="C509" s="3"/>
    </row>
    <row r="510" ht="15.75" customHeight="1">
      <c r="C510" s="3"/>
    </row>
    <row r="511" ht="15.75" customHeight="1">
      <c r="C511" s="3"/>
    </row>
    <row r="512" ht="15.75" customHeight="1">
      <c r="C512" s="3"/>
    </row>
    <row r="513" ht="15.75" customHeight="1">
      <c r="C513" s="3"/>
    </row>
    <row r="514" ht="15.75" customHeight="1">
      <c r="C514" s="3"/>
    </row>
    <row r="515" ht="15.75" customHeight="1">
      <c r="C515" s="3"/>
    </row>
    <row r="516" ht="15.75" customHeight="1">
      <c r="C516" s="3"/>
    </row>
    <row r="517" ht="15.75" customHeight="1">
      <c r="C517" s="3"/>
    </row>
    <row r="518" ht="15.75" customHeight="1">
      <c r="C518" s="3"/>
    </row>
    <row r="519" ht="15.75" customHeight="1">
      <c r="C519" s="3"/>
    </row>
    <row r="520" ht="15.75" customHeight="1">
      <c r="C520" s="3"/>
    </row>
    <row r="521" ht="15.75" customHeight="1">
      <c r="C521" s="3"/>
    </row>
    <row r="522" ht="15.75" customHeight="1">
      <c r="C522" s="3"/>
    </row>
    <row r="523" ht="15.75" customHeight="1">
      <c r="C523" s="3"/>
    </row>
    <row r="524" ht="15.75" customHeight="1">
      <c r="C524" s="3"/>
    </row>
    <row r="525" ht="15.75" customHeight="1">
      <c r="C525" s="3"/>
    </row>
    <row r="526" ht="15.75" customHeight="1">
      <c r="C526" s="3"/>
    </row>
    <row r="527" ht="15.75" customHeight="1">
      <c r="C527" s="3"/>
    </row>
    <row r="528" ht="15.75" customHeight="1">
      <c r="C528" s="3"/>
    </row>
    <row r="529" ht="15.75" customHeight="1">
      <c r="C529" s="3"/>
    </row>
    <row r="530" ht="15.75" customHeight="1">
      <c r="C530" s="3"/>
    </row>
    <row r="531" ht="15.75" customHeight="1">
      <c r="C531" s="3"/>
    </row>
    <row r="532" ht="15.75" customHeight="1">
      <c r="C532" s="3"/>
    </row>
    <row r="533" ht="15.75" customHeight="1">
      <c r="C533" s="3"/>
    </row>
    <row r="534" ht="15.75" customHeight="1">
      <c r="C534" s="3"/>
    </row>
    <row r="535" ht="15.75" customHeight="1">
      <c r="C535" s="3"/>
    </row>
    <row r="536" ht="15.75" customHeight="1">
      <c r="C536" s="3"/>
    </row>
    <row r="537" ht="15.75" customHeight="1">
      <c r="C537" s="3"/>
    </row>
    <row r="538" ht="15.75" customHeight="1">
      <c r="C538" s="3"/>
    </row>
    <row r="539" ht="15.75" customHeight="1">
      <c r="C539" s="3"/>
    </row>
    <row r="540" ht="15.75" customHeight="1">
      <c r="C540" s="3"/>
    </row>
    <row r="541" ht="15.75" customHeight="1">
      <c r="C541" s="3"/>
    </row>
    <row r="542" ht="15.75" customHeight="1">
      <c r="C542" s="3"/>
    </row>
    <row r="543" ht="15.75" customHeight="1">
      <c r="C543" s="3"/>
    </row>
    <row r="544" ht="15.75" customHeight="1">
      <c r="C544" s="3"/>
    </row>
    <row r="545" ht="15.75" customHeight="1">
      <c r="C545" s="3"/>
    </row>
    <row r="546" ht="15.75" customHeight="1">
      <c r="C546" s="3"/>
    </row>
    <row r="547" ht="15.75" customHeight="1">
      <c r="C547" s="3"/>
    </row>
    <row r="548" ht="15.75" customHeight="1">
      <c r="C548" s="3"/>
    </row>
    <row r="549" ht="15.75" customHeight="1">
      <c r="C549" s="3"/>
    </row>
    <row r="550" ht="15.75" customHeight="1">
      <c r="C550" s="3"/>
    </row>
    <row r="551" ht="15.75" customHeight="1">
      <c r="C551" s="3"/>
    </row>
    <row r="552" ht="15.75" customHeight="1">
      <c r="C552" s="3"/>
    </row>
    <row r="553" ht="15.75" customHeight="1">
      <c r="C553" s="3"/>
    </row>
    <row r="554" ht="15.75" customHeight="1">
      <c r="C554" s="3"/>
    </row>
    <row r="555" ht="15.75" customHeight="1">
      <c r="C555" s="3"/>
    </row>
    <row r="556" ht="15.75" customHeight="1">
      <c r="C556" s="3"/>
    </row>
    <row r="557" ht="15.75" customHeight="1">
      <c r="C557" s="3"/>
    </row>
    <row r="558" ht="15.75" customHeight="1">
      <c r="C558" s="3"/>
    </row>
    <row r="559" ht="15.75" customHeight="1">
      <c r="C559" s="3"/>
    </row>
    <row r="560" ht="15.75" customHeight="1">
      <c r="C560" s="3"/>
    </row>
    <row r="561" ht="15.75" customHeight="1">
      <c r="C561" s="3"/>
    </row>
    <row r="562" ht="15.75" customHeight="1">
      <c r="C562" s="3"/>
    </row>
    <row r="563" ht="15.75" customHeight="1">
      <c r="C563" s="3"/>
    </row>
    <row r="564" ht="15.75" customHeight="1">
      <c r="C564" s="3"/>
    </row>
    <row r="565" ht="15.75" customHeight="1">
      <c r="C565" s="3"/>
    </row>
    <row r="566" ht="15.75" customHeight="1">
      <c r="C566" s="3"/>
    </row>
    <row r="567" ht="15.75" customHeight="1">
      <c r="C567" s="3"/>
    </row>
    <row r="568" ht="15.75" customHeight="1">
      <c r="C568" s="3"/>
    </row>
    <row r="569" ht="15.75" customHeight="1">
      <c r="C569" s="3"/>
    </row>
    <row r="570" ht="15.75" customHeight="1">
      <c r="C570" s="3"/>
    </row>
    <row r="571" ht="15.75" customHeight="1">
      <c r="C571" s="3"/>
    </row>
    <row r="572" ht="15.75" customHeight="1">
      <c r="C572" s="3"/>
    </row>
    <row r="573" ht="15.75" customHeight="1">
      <c r="C573" s="3"/>
    </row>
    <row r="574" ht="15.75" customHeight="1">
      <c r="C574" s="3"/>
    </row>
    <row r="575" ht="15.75" customHeight="1">
      <c r="C575" s="3"/>
    </row>
    <row r="576" ht="15.75" customHeight="1">
      <c r="C576" s="3"/>
    </row>
    <row r="577" ht="15.75" customHeight="1">
      <c r="C577" s="3"/>
    </row>
    <row r="578" ht="15.75" customHeight="1">
      <c r="C578" s="3"/>
    </row>
    <row r="579" ht="15.75" customHeight="1">
      <c r="C579" s="3"/>
    </row>
    <row r="580" ht="15.75" customHeight="1">
      <c r="C580" s="3"/>
    </row>
    <row r="581" ht="15.75" customHeight="1">
      <c r="C581" s="3"/>
    </row>
    <row r="582" ht="15.75" customHeight="1">
      <c r="C582" s="3"/>
    </row>
    <row r="583" ht="15.75" customHeight="1">
      <c r="C583" s="3"/>
    </row>
    <row r="584" ht="15.75" customHeight="1">
      <c r="C584" s="3"/>
    </row>
    <row r="585" ht="15.75" customHeight="1">
      <c r="C585" s="3"/>
    </row>
    <row r="586" ht="15.75" customHeight="1">
      <c r="C586" s="3"/>
    </row>
    <row r="587" ht="15.75" customHeight="1">
      <c r="C587" s="3"/>
    </row>
    <row r="588" ht="15.75" customHeight="1">
      <c r="C588" s="3"/>
    </row>
    <row r="589" ht="15.75" customHeight="1">
      <c r="C589" s="3"/>
    </row>
    <row r="590" ht="15.75" customHeight="1">
      <c r="C590" s="3"/>
    </row>
    <row r="591" ht="15.75" customHeight="1">
      <c r="C591" s="3"/>
    </row>
    <row r="592" ht="15.75" customHeight="1">
      <c r="C592" s="3"/>
    </row>
    <row r="593" ht="15.75" customHeight="1">
      <c r="C593" s="3"/>
    </row>
    <row r="594" ht="15.75" customHeight="1">
      <c r="C594" s="3"/>
    </row>
    <row r="595" ht="15.75" customHeight="1">
      <c r="C595" s="3"/>
    </row>
    <row r="596" ht="15.75" customHeight="1">
      <c r="C596" s="3"/>
    </row>
    <row r="597" ht="15.75" customHeight="1">
      <c r="C597" s="3"/>
    </row>
    <row r="598" ht="15.75" customHeight="1">
      <c r="C598" s="3"/>
    </row>
    <row r="599" ht="15.75" customHeight="1">
      <c r="C599" s="3"/>
    </row>
    <row r="600" ht="15.75" customHeight="1">
      <c r="C600" s="3"/>
    </row>
    <row r="601" ht="15.75" customHeight="1">
      <c r="C601" s="3"/>
    </row>
    <row r="602" ht="15.75" customHeight="1">
      <c r="C602" s="3"/>
    </row>
    <row r="603" ht="15.75" customHeight="1">
      <c r="C603" s="3"/>
    </row>
    <row r="604" ht="15.75" customHeight="1">
      <c r="C604" s="3"/>
    </row>
    <row r="605" ht="15.75" customHeight="1">
      <c r="C605" s="3"/>
    </row>
    <row r="606" ht="15.75" customHeight="1">
      <c r="C606" s="3"/>
    </row>
    <row r="607" ht="15.75" customHeight="1">
      <c r="C607" s="3"/>
    </row>
    <row r="608" ht="15.75" customHeight="1">
      <c r="C608" s="3"/>
    </row>
    <row r="609" ht="15.75" customHeight="1">
      <c r="C609" s="3"/>
    </row>
    <row r="610" ht="15.75" customHeight="1">
      <c r="C610" s="3"/>
    </row>
    <row r="611" ht="15.75" customHeight="1">
      <c r="C611" s="3"/>
    </row>
    <row r="612" ht="15.75" customHeight="1">
      <c r="C612" s="3"/>
    </row>
    <row r="613" ht="15.75" customHeight="1">
      <c r="C613" s="3"/>
    </row>
    <row r="614" ht="15.75" customHeight="1">
      <c r="C614" s="3"/>
    </row>
    <row r="615" ht="15.75" customHeight="1">
      <c r="C615" s="3"/>
    </row>
    <row r="616" ht="15.75" customHeight="1">
      <c r="C616" s="3"/>
    </row>
    <row r="617" ht="15.75" customHeight="1">
      <c r="C617" s="3"/>
    </row>
    <row r="618" ht="15.75" customHeight="1">
      <c r="C618" s="3"/>
    </row>
    <row r="619" ht="15.75" customHeight="1">
      <c r="C619" s="3"/>
    </row>
    <row r="620" ht="15.75" customHeight="1">
      <c r="C620" s="3"/>
    </row>
    <row r="621" ht="15.75" customHeight="1">
      <c r="C621" s="3"/>
    </row>
    <row r="622" ht="15.75" customHeight="1">
      <c r="C622" s="3"/>
    </row>
    <row r="623" ht="15.75" customHeight="1">
      <c r="C623" s="3"/>
    </row>
    <row r="624" ht="15.75" customHeight="1">
      <c r="C624" s="3"/>
    </row>
    <row r="625" ht="15.75" customHeight="1">
      <c r="C625" s="3"/>
    </row>
    <row r="626" ht="15.75" customHeight="1">
      <c r="C626" s="3"/>
    </row>
    <row r="627" ht="15.75" customHeight="1">
      <c r="C627" s="3"/>
    </row>
    <row r="628" ht="15.75" customHeight="1">
      <c r="C628" s="3"/>
    </row>
    <row r="629" ht="15.75" customHeight="1">
      <c r="C629" s="3"/>
    </row>
    <row r="630" ht="15.75" customHeight="1">
      <c r="C630" s="3"/>
    </row>
    <row r="631" ht="15.75" customHeight="1">
      <c r="C631" s="3"/>
    </row>
    <row r="632" ht="15.75" customHeight="1">
      <c r="C632" s="3"/>
    </row>
    <row r="633" ht="15.75" customHeight="1">
      <c r="C633" s="3"/>
    </row>
    <row r="634" ht="15.75" customHeight="1">
      <c r="C634" s="3"/>
    </row>
    <row r="635" ht="15.75" customHeight="1">
      <c r="C635" s="3"/>
    </row>
    <row r="636" ht="15.75" customHeight="1">
      <c r="C636" s="3"/>
    </row>
    <row r="637" ht="15.75" customHeight="1">
      <c r="C637" s="3"/>
    </row>
    <row r="638" ht="15.75" customHeight="1">
      <c r="C638" s="3"/>
    </row>
    <row r="639" ht="15.75" customHeight="1">
      <c r="C639" s="3"/>
    </row>
    <row r="640" ht="15.75" customHeight="1">
      <c r="C640" s="3"/>
    </row>
    <row r="641" ht="15.75" customHeight="1">
      <c r="C641" s="3"/>
    </row>
    <row r="642" ht="15.75" customHeight="1">
      <c r="C642" s="3"/>
    </row>
    <row r="643" ht="15.75" customHeight="1">
      <c r="C643" s="3"/>
    </row>
    <row r="644" ht="15.75" customHeight="1">
      <c r="C644" s="3"/>
    </row>
    <row r="645" ht="15.75" customHeight="1">
      <c r="C645" s="3"/>
    </row>
    <row r="646" ht="15.75" customHeight="1">
      <c r="C646" s="3"/>
    </row>
    <row r="647" ht="15.75" customHeight="1">
      <c r="C647" s="3"/>
    </row>
    <row r="648" ht="15.75" customHeight="1">
      <c r="C648" s="3"/>
    </row>
    <row r="649" ht="15.75" customHeight="1">
      <c r="C649" s="3"/>
    </row>
    <row r="650" ht="15.75" customHeight="1">
      <c r="C650" s="3"/>
    </row>
    <row r="651" ht="15.75" customHeight="1">
      <c r="C651" s="3"/>
    </row>
    <row r="652" ht="15.75" customHeight="1">
      <c r="C652" s="3"/>
    </row>
    <row r="653" ht="15.75" customHeight="1">
      <c r="C653" s="3"/>
    </row>
    <row r="654" ht="15.75" customHeight="1">
      <c r="C654" s="3"/>
    </row>
    <row r="655" ht="15.75" customHeight="1">
      <c r="C655" s="3"/>
    </row>
    <row r="656" ht="15.75" customHeight="1">
      <c r="C656" s="3"/>
    </row>
    <row r="657" ht="15.75" customHeight="1">
      <c r="C657" s="3"/>
    </row>
    <row r="658" ht="15.75" customHeight="1">
      <c r="C658" s="3"/>
    </row>
    <row r="659" ht="15.75" customHeight="1">
      <c r="C659" s="3"/>
    </row>
    <row r="660" ht="15.75" customHeight="1">
      <c r="C660" s="3"/>
    </row>
    <row r="661" ht="15.75" customHeight="1">
      <c r="C661" s="3"/>
    </row>
    <row r="662" ht="15.75" customHeight="1">
      <c r="C662" s="3"/>
    </row>
    <row r="663" ht="15.75" customHeight="1">
      <c r="C663" s="3"/>
    </row>
    <row r="664" ht="15.75" customHeight="1">
      <c r="C664" s="3"/>
    </row>
    <row r="665" ht="15.75" customHeight="1">
      <c r="C665" s="3"/>
    </row>
    <row r="666" ht="15.75" customHeight="1">
      <c r="C666" s="3"/>
    </row>
    <row r="667" ht="15.75" customHeight="1">
      <c r="C667" s="3"/>
    </row>
    <row r="668" ht="15.75" customHeight="1">
      <c r="C668" s="3"/>
    </row>
    <row r="669" ht="15.75" customHeight="1">
      <c r="C669" s="3"/>
    </row>
    <row r="670" ht="15.75" customHeight="1">
      <c r="C670" s="3"/>
    </row>
    <row r="671" ht="15.75" customHeight="1">
      <c r="C671" s="3"/>
    </row>
    <row r="672" ht="15.75" customHeight="1">
      <c r="C672" s="3"/>
    </row>
    <row r="673" ht="15.75" customHeight="1">
      <c r="C673" s="3"/>
    </row>
    <row r="674" ht="15.75" customHeight="1">
      <c r="C674" s="3"/>
    </row>
    <row r="675" ht="15.75" customHeight="1">
      <c r="C675" s="3"/>
    </row>
    <row r="676" ht="15.75" customHeight="1">
      <c r="C676" s="3"/>
    </row>
    <row r="677" ht="15.75" customHeight="1">
      <c r="C677" s="3"/>
    </row>
    <row r="678" ht="15.75" customHeight="1">
      <c r="C678" s="3"/>
    </row>
    <row r="679" ht="15.75" customHeight="1">
      <c r="C679" s="3"/>
    </row>
    <row r="680" ht="15.75" customHeight="1">
      <c r="C680" s="3"/>
    </row>
    <row r="681" ht="15.75" customHeight="1">
      <c r="C681" s="3"/>
    </row>
    <row r="682" ht="15.75" customHeight="1">
      <c r="C682" s="3"/>
    </row>
    <row r="683" ht="15.75" customHeight="1">
      <c r="C683" s="3"/>
    </row>
    <row r="684" ht="15.75" customHeight="1">
      <c r="C684" s="3"/>
    </row>
    <row r="685" ht="15.75" customHeight="1">
      <c r="C685" s="3"/>
    </row>
    <row r="686" ht="15.75" customHeight="1">
      <c r="C686" s="3"/>
    </row>
    <row r="687" ht="15.75" customHeight="1">
      <c r="C687" s="3"/>
    </row>
    <row r="688" ht="15.75" customHeight="1">
      <c r="C688" s="3"/>
    </row>
    <row r="689" ht="15.75" customHeight="1">
      <c r="C689" s="3"/>
    </row>
    <row r="690" ht="15.75" customHeight="1">
      <c r="C690" s="3"/>
    </row>
    <row r="691" ht="15.75" customHeight="1">
      <c r="C691" s="3"/>
    </row>
    <row r="692" ht="15.75" customHeight="1">
      <c r="C692" s="3"/>
    </row>
    <row r="693" ht="15.75" customHeight="1">
      <c r="C693" s="3"/>
    </row>
    <row r="694" ht="15.75" customHeight="1">
      <c r="C694" s="3"/>
    </row>
    <row r="695" ht="15.75" customHeight="1">
      <c r="C695" s="3"/>
    </row>
    <row r="696" ht="15.75" customHeight="1">
      <c r="C696" s="3"/>
    </row>
    <row r="697" ht="15.75" customHeight="1">
      <c r="C697" s="3"/>
    </row>
    <row r="698" ht="15.75" customHeight="1">
      <c r="C698" s="3"/>
    </row>
    <row r="699" ht="15.75" customHeight="1">
      <c r="C699" s="3"/>
    </row>
    <row r="700" ht="15.75" customHeight="1">
      <c r="C700" s="3"/>
    </row>
    <row r="701" ht="15.75" customHeight="1">
      <c r="C701" s="3"/>
    </row>
    <row r="702" ht="15.75" customHeight="1">
      <c r="C702" s="3"/>
    </row>
    <row r="703" ht="15.75" customHeight="1">
      <c r="C703" s="3"/>
    </row>
    <row r="704" ht="15.75" customHeight="1">
      <c r="C704" s="3"/>
    </row>
    <row r="705" ht="15.75" customHeight="1">
      <c r="C705" s="3"/>
    </row>
    <row r="706" ht="15.75" customHeight="1">
      <c r="C706" s="3"/>
    </row>
    <row r="707" ht="15.75" customHeight="1">
      <c r="C707" s="3"/>
    </row>
    <row r="708" ht="15.75" customHeight="1">
      <c r="C708" s="3"/>
    </row>
    <row r="709" ht="15.75" customHeight="1">
      <c r="C709" s="3"/>
    </row>
    <row r="710" ht="15.75" customHeight="1">
      <c r="C710" s="3"/>
    </row>
    <row r="711" ht="15.75" customHeight="1">
      <c r="C711" s="3"/>
    </row>
    <row r="712" ht="15.75" customHeight="1">
      <c r="C712" s="3"/>
    </row>
    <row r="713" ht="15.75" customHeight="1">
      <c r="C713" s="3"/>
    </row>
    <row r="714" ht="15.75" customHeight="1">
      <c r="C714" s="3"/>
    </row>
    <row r="715" ht="15.75" customHeight="1">
      <c r="C715" s="3"/>
    </row>
    <row r="716" ht="15.75" customHeight="1">
      <c r="C716" s="3"/>
    </row>
    <row r="717" ht="15.75" customHeight="1">
      <c r="C717" s="3"/>
    </row>
    <row r="718" ht="15.75" customHeight="1">
      <c r="C718" s="3"/>
    </row>
    <row r="719" ht="15.75" customHeight="1">
      <c r="C719" s="3"/>
    </row>
    <row r="720" ht="15.75" customHeight="1">
      <c r="C720" s="3"/>
    </row>
    <row r="721" ht="15.75" customHeight="1">
      <c r="C721" s="3"/>
    </row>
    <row r="722" ht="15.75" customHeight="1">
      <c r="C722" s="3"/>
    </row>
    <row r="723" ht="15.75" customHeight="1">
      <c r="C723" s="3"/>
    </row>
    <row r="724" ht="15.75" customHeight="1">
      <c r="C724" s="3"/>
    </row>
    <row r="725" ht="15.75" customHeight="1">
      <c r="C725" s="3"/>
    </row>
    <row r="726" ht="15.75" customHeight="1">
      <c r="C726" s="3"/>
    </row>
    <row r="727" ht="15.75" customHeight="1">
      <c r="C727" s="3"/>
    </row>
    <row r="728" ht="15.75" customHeight="1">
      <c r="C728" s="3"/>
    </row>
    <row r="729" ht="15.75" customHeight="1">
      <c r="C729" s="3"/>
    </row>
    <row r="730" ht="15.75" customHeight="1">
      <c r="C730" s="3"/>
    </row>
    <row r="731" ht="15.75" customHeight="1">
      <c r="C731" s="3"/>
    </row>
    <row r="732" ht="15.75" customHeight="1">
      <c r="C732" s="3"/>
    </row>
    <row r="733" ht="15.75" customHeight="1">
      <c r="C733" s="3"/>
    </row>
    <row r="734" ht="15.75" customHeight="1">
      <c r="C734" s="3"/>
    </row>
    <row r="735" ht="15.75" customHeight="1">
      <c r="C735" s="3"/>
    </row>
    <row r="736" ht="15.75" customHeight="1">
      <c r="C736" s="3"/>
    </row>
    <row r="737" ht="15.75" customHeight="1">
      <c r="C737" s="3"/>
    </row>
    <row r="738" ht="15.75" customHeight="1">
      <c r="C738" s="3"/>
    </row>
    <row r="739" ht="15.75" customHeight="1">
      <c r="C739" s="3"/>
    </row>
    <row r="740" ht="15.75" customHeight="1">
      <c r="C740" s="3"/>
    </row>
    <row r="741" ht="15.75" customHeight="1">
      <c r="C741" s="3"/>
    </row>
    <row r="742" ht="15.75" customHeight="1">
      <c r="C742" s="3"/>
    </row>
    <row r="743" ht="15.75" customHeight="1">
      <c r="C743" s="3"/>
    </row>
    <row r="744" ht="15.75" customHeight="1">
      <c r="C744" s="3"/>
    </row>
    <row r="745" ht="15.75" customHeight="1">
      <c r="C745" s="3"/>
    </row>
    <row r="746" ht="15.75" customHeight="1">
      <c r="C746" s="3"/>
    </row>
    <row r="747" ht="15.75" customHeight="1">
      <c r="C747" s="3"/>
    </row>
    <row r="748" ht="15.75" customHeight="1">
      <c r="C748" s="3"/>
    </row>
    <row r="749" ht="15.75" customHeight="1">
      <c r="C749" s="3"/>
    </row>
    <row r="750" ht="15.75" customHeight="1">
      <c r="C750" s="3"/>
    </row>
    <row r="751" ht="15.75" customHeight="1">
      <c r="C751" s="3"/>
    </row>
    <row r="752" ht="15.75" customHeight="1">
      <c r="C752" s="3"/>
    </row>
    <row r="753" ht="15.75" customHeight="1">
      <c r="C753" s="3"/>
    </row>
    <row r="754" ht="15.75" customHeight="1">
      <c r="C754" s="3"/>
    </row>
    <row r="755" ht="15.75" customHeight="1">
      <c r="C755" s="3"/>
    </row>
    <row r="756" ht="15.75" customHeight="1">
      <c r="C756" s="3"/>
    </row>
    <row r="757" ht="15.75" customHeight="1">
      <c r="C757" s="3"/>
    </row>
    <row r="758" ht="15.75" customHeight="1">
      <c r="C758" s="3"/>
    </row>
    <row r="759" ht="15.75" customHeight="1">
      <c r="C759" s="3"/>
    </row>
    <row r="760" ht="15.75" customHeight="1">
      <c r="C760" s="3"/>
    </row>
    <row r="761" ht="15.75" customHeight="1">
      <c r="C761" s="3"/>
    </row>
    <row r="762" ht="15.75" customHeight="1">
      <c r="C762" s="3"/>
    </row>
    <row r="763" ht="15.75" customHeight="1">
      <c r="C763" s="3"/>
    </row>
    <row r="764" ht="15.75" customHeight="1">
      <c r="C764" s="3"/>
    </row>
    <row r="765" ht="15.75" customHeight="1">
      <c r="C765" s="3"/>
    </row>
    <row r="766" ht="15.75" customHeight="1">
      <c r="C766" s="3"/>
    </row>
    <row r="767" ht="15.75" customHeight="1">
      <c r="C767" s="3"/>
    </row>
    <row r="768" ht="15.75" customHeight="1">
      <c r="C768" s="3"/>
    </row>
    <row r="769" ht="15.75" customHeight="1">
      <c r="C769" s="3"/>
    </row>
    <row r="770" ht="15.75" customHeight="1">
      <c r="C770" s="3"/>
    </row>
    <row r="771" ht="15.75" customHeight="1">
      <c r="C771" s="3"/>
    </row>
    <row r="772" ht="15.75" customHeight="1">
      <c r="C772" s="3"/>
    </row>
    <row r="773" ht="15.75" customHeight="1">
      <c r="C773" s="3"/>
    </row>
    <row r="774" ht="15.75" customHeight="1">
      <c r="C774" s="3"/>
    </row>
    <row r="775" ht="15.75" customHeight="1">
      <c r="C775" s="3"/>
    </row>
    <row r="776" ht="15.75" customHeight="1">
      <c r="C776" s="3"/>
    </row>
    <row r="777" ht="15.75" customHeight="1">
      <c r="C777" s="3"/>
    </row>
    <row r="778" ht="15.75" customHeight="1">
      <c r="C778" s="3"/>
    </row>
    <row r="779" ht="15.75" customHeight="1">
      <c r="C779" s="3"/>
    </row>
    <row r="780" ht="15.75" customHeight="1">
      <c r="C780" s="3"/>
    </row>
    <row r="781" ht="15.75" customHeight="1">
      <c r="C781" s="3"/>
    </row>
    <row r="782" ht="15.75" customHeight="1">
      <c r="C782" s="3"/>
    </row>
    <row r="783" ht="15.75" customHeight="1">
      <c r="C783" s="3"/>
    </row>
    <row r="784" ht="15.75" customHeight="1">
      <c r="C784" s="3"/>
    </row>
    <row r="785" ht="15.75" customHeight="1">
      <c r="C785" s="3"/>
    </row>
    <row r="786" ht="15.75" customHeight="1">
      <c r="C786" s="3"/>
    </row>
    <row r="787" ht="15.75" customHeight="1">
      <c r="C787" s="3"/>
    </row>
    <row r="788" ht="15.75" customHeight="1">
      <c r="C788" s="3"/>
    </row>
    <row r="789" ht="15.75" customHeight="1">
      <c r="C789" s="3"/>
    </row>
    <row r="790" ht="15.75" customHeight="1">
      <c r="C790" s="3"/>
    </row>
    <row r="791" ht="15.75" customHeight="1">
      <c r="C791" s="3"/>
    </row>
    <row r="792" ht="15.75" customHeight="1">
      <c r="C792" s="3"/>
    </row>
    <row r="793" ht="15.75" customHeight="1">
      <c r="C793" s="3"/>
    </row>
    <row r="794" ht="15.75" customHeight="1">
      <c r="C794" s="3"/>
    </row>
    <row r="795" ht="15.75" customHeight="1">
      <c r="C795" s="3"/>
    </row>
    <row r="796" ht="15.75" customHeight="1">
      <c r="C796" s="3"/>
    </row>
    <row r="797" ht="15.75" customHeight="1">
      <c r="C797" s="3"/>
    </row>
    <row r="798" ht="15.75" customHeight="1">
      <c r="C798" s="3"/>
    </row>
    <row r="799" ht="15.75" customHeight="1">
      <c r="C799" s="3"/>
    </row>
    <row r="800" ht="15.75" customHeight="1">
      <c r="C800" s="3"/>
    </row>
    <row r="801" ht="15.75" customHeight="1">
      <c r="C801" s="3"/>
    </row>
    <row r="802" ht="15.75" customHeight="1">
      <c r="C802" s="3"/>
    </row>
    <row r="803" ht="15.75" customHeight="1">
      <c r="C803" s="3"/>
    </row>
    <row r="804" ht="15.75" customHeight="1">
      <c r="C804" s="3"/>
    </row>
    <row r="805" ht="15.75" customHeight="1">
      <c r="C805" s="3"/>
    </row>
    <row r="806" ht="15.75" customHeight="1">
      <c r="C806" s="3"/>
    </row>
    <row r="807" ht="15.75" customHeight="1">
      <c r="C807" s="3"/>
    </row>
    <row r="808" ht="15.75" customHeight="1">
      <c r="C808" s="3"/>
    </row>
    <row r="809" ht="15.75" customHeight="1">
      <c r="C809" s="3"/>
    </row>
    <row r="810" ht="15.75" customHeight="1">
      <c r="C810" s="3"/>
    </row>
    <row r="811" ht="15.75" customHeight="1">
      <c r="C811" s="3"/>
    </row>
    <row r="812" ht="15.75" customHeight="1">
      <c r="C812" s="3"/>
    </row>
    <row r="813" ht="15.75" customHeight="1">
      <c r="C813" s="3"/>
    </row>
    <row r="814" ht="15.75" customHeight="1">
      <c r="C814" s="3"/>
    </row>
    <row r="815" ht="15.75" customHeight="1">
      <c r="C815" s="3"/>
    </row>
    <row r="816" ht="15.75" customHeight="1">
      <c r="C816" s="3"/>
    </row>
    <row r="817" ht="15.75" customHeight="1">
      <c r="C817" s="3"/>
    </row>
    <row r="818" ht="15.75" customHeight="1">
      <c r="C818" s="3"/>
    </row>
    <row r="819" ht="15.75" customHeight="1">
      <c r="C819" s="3"/>
    </row>
    <row r="820" ht="15.75" customHeight="1">
      <c r="C820" s="3"/>
    </row>
    <row r="821" ht="15.75" customHeight="1">
      <c r="C821" s="3"/>
    </row>
    <row r="822" ht="15.75" customHeight="1">
      <c r="C822" s="3"/>
    </row>
    <row r="823" ht="15.75" customHeight="1">
      <c r="C823" s="3"/>
    </row>
    <row r="824" ht="15.75" customHeight="1">
      <c r="C824" s="3"/>
    </row>
    <row r="825" ht="15.75" customHeight="1">
      <c r="C825" s="3"/>
    </row>
    <row r="826" ht="15.75" customHeight="1">
      <c r="C826" s="3"/>
    </row>
    <row r="827" ht="15.75" customHeight="1">
      <c r="C827" s="3"/>
    </row>
    <row r="828" ht="15.75" customHeight="1">
      <c r="C828" s="3"/>
    </row>
    <row r="829" ht="15.75" customHeight="1">
      <c r="C829" s="3"/>
    </row>
    <row r="830" ht="15.75" customHeight="1">
      <c r="C830" s="3"/>
    </row>
    <row r="831" ht="15.75" customHeight="1">
      <c r="C831" s="3"/>
    </row>
    <row r="832" ht="15.75" customHeight="1">
      <c r="C832" s="3"/>
    </row>
    <row r="833" ht="15.75" customHeight="1">
      <c r="C833" s="3"/>
    </row>
    <row r="834" ht="15.75" customHeight="1">
      <c r="C834" s="3"/>
    </row>
    <row r="835" ht="15.75" customHeight="1">
      <c r="C835" s="3"/>
    </row>
    <row r="836" ht="15.75" customHeight="1">
      <c r="C836" s="3"/>
    </row>
    <row r="837" ht="15.75" customHeight="1">
      <c r="C837" s="3"/>
    </row>
    <row r="838" ht="15.75" customHeight="1">
      <c r="C838" s="3"/>
    </row>
    <row r="839" ht="15.75" customHeight="1">
      <c r="C839" s="3"/>
    </row>
    <row r="840" ht="15.75" customHeight="1">
      <c r="C840" s="3"/>
    </row>
    <row r="841" ht="15.75" customHeight="1">
      <c r="C841" s="3"/>
    </row>
    <row r="842" ht="15.75" customHeight="1">
      <c r="C842" s="3"/>
    </row>
    <row r="843" ht="15.75" customHeight="1">
      <c r="C843" s="3"/>
    </row>
    <row r="844" ht="15.75" customHeight="1">
      <c r="C844" s="3"/>
    </row>
    <row r="845" ht="15.75" customHeight="1">
      <c r="C845" s="3"/>
    </row>
    <row r="846" ht="15.75" customHeight="1">
      <c r="C846" s="3"/>
    </row>
    <row r="847" ht="15.75" customHeight="1">
      <c r="C847" s="3"/>
    </row>
    <row r="848" ht="15.75" customHeight="1">
      <c r="C848" s="3"/>
    </row>
    <row r="849" ht="15.75" customHeight="1">
      <c r="C849" s="3"/>
    </row>
    <row r="850" ht="15.75" customHeight="1">
      <c r="C850" s="3"/>
    </row>
    <row r="851" ht="15.75" customHeight="1">
      <c r="C851" s="3"/>
    </row>
    <row r="852" ht="15.75" customHeight="1">
      <c r="C852" s="3"/>
    </row>
    <row r="853" ht="15.75" customHeight="1">
      <c r="C853" s="3"/>
    </row>
    <row r="854" ht="15.75" customHeight="1">
      <c r="C854" s="3"/>
    </row>
    <row r="855" ht="15.75" customHeight="1">
      <c r="C855" s="3"/>
    </row>
    <row r="856" ht="15.75" customHeight="1">
      <c r="C856" s="3"/>
    </row>
    <row r="857" ht="15.75" customHeight="1">
      <c r="C857" s="3"/>
    </row>
    <row r="858" ht="15.75" customHeight="1">
      <c r="C858" s="3"/>
    </row>
    <row r="859" ht="15.75" customHeight="1">
      <c r="C859" s="3"/>
    </row>
    <row r="860" ht="15.75" customHeight="1">
      <c r="C860" s="3"/>
    </row>
    <row r="861" ht="15.75" customHeight="1">
      <c r="C861" s="3"/>
    </row>
    <row r="862" ht="15.75" customHeight="1">
      <c r="C862" s="3"/>
    </row>
    <row r="863" ht="15.75" customHeight="1">
      <c r="C863" s="3"/>
    </row>
    <row r="864" ht="15.75" customHeight="1">
      <c r="C864" s="3"/>
    </row>
    <row r="865" ht="15.75" customHeight="1">
      <c r="C865" s="3"/>
    </row>
    <row r="866" ht="15.75" customHeight="1">
      <c r="C866" s="3"/>
    </row>
    <row r="867" ht="15.75" customHeight="1">
      <c r="C867" s="3"/>
    </row>
    <row r="868" ht="15.75" customHeight="1">
      <c r="C868" s="3"/>
    </row>
    <row r="869" ht="15.75" customHeight="1">
      <c r="C869" s="3"/>
    </row>
    <row r="870" ht="15.75" customHeight="1">
      <c r="C870" s="3"/>
    </row>
    <row r="871" ht="15.75" customHeight="1">
      <c r="C871" s="3"/>
    </row>
    <row r="872" ht="15.75" customHeight="1">
      <c r="C872" s="3"/>
    </row>
    <row r="873" ht="15.75" customHeight="1">
      <c r="C873" s="3"/>
    </row>
    <row r="874" ht="15.75" customHeight="1">
      <c r="C874" s="3"/>
    </row>
    <row r="875" ht="15.75" customHeight="1">
      <c r="C875" s="3"/>
    </row>
    <row r="876" ht="15.75" customHeight="1">
      <c r="C876" s="3"/>
    </row>
    <row r="877" ht="15.75" customHeight="1">
      <c r="C877" s="3"/>
    </row>
    <row r="878" ht="15.75" customHeight="1">
      <c r="C878" s="3"/>
    </row>
    <row r="879" ht="15.75" customHeight="1">
      <c r="C879" s="3"/>
    </row>
    <row r="880" ht="15.75" customHeight="1">
      <c r="C880" s="3"/>
    </row>
    <row r="881" ht="15.75" customHeight="1">
      <c r="C881" s="3"/>
    </row>
    <row r="882" ht="15.75" customHeight="1">
      <c r="C882" s="3"/>
    </row>
    <row r="883" ht="15.75" customHeight="1">
      <c r="C883" s="3"/>
    </row>
    <row r="884" ht="15.75" customHeight="1">
      <c r="C884" s="3"/>
    </row>
    <row r="885" ht="15.75" customHeight="1">
      <c r="C885" s="3"/>
    </row>
    <row r="886" ht="15.75" customHeight="1">
      <c r="C886" s="3"/>
    </row>
    <row r="887" ht="15.75" customHeight="1">
      <c r="C887" s="3"/>
    </row>
    <row r="888" ht="15.75" customHeight="1">
      <c r="C888" s="3"/>
    </row>
    <row r="889" ht="15.75" customHeight="1">
      <c r="C889" s="3"/>
    </row>
    <row r="890" ht="15.75" customHeight="1">
      <c r="C890" s="3"/>
    </row>
    <row r="891" ht="15.75" customHeight="1">
      <c r="C891" s="3"/>
    </row>
    <row r="892" ht="15.75" customHeight="1">
      <c r="C892" s="3"/>
    </row>
    <row r="893" ht="15.75" customHeight="1">
      <c r="C893" s="3"/>
    </row>
    <row r="894" ht="15.75" customHeight="1">
      <c r="C894" s="3"/>
    </row>
    <row r="895" ht="15.75" customHeight="1">
      <c r="C895" s="3"/>
    </row>
    <row r="896" ht="15.75" customHeight="1">
      <c r="C896" s="3"/>
    </row>
    <row r="897" ht="15.75" customHeight="1">
      <c r="C897" s="3"/>
    </row>
    <row r="898" ht="15.75" customHeight="1">
      <c r="C898" s="3"/>
    </row>
    <row r="899" ht="15.75" customHeight="1">
      <c r="C899" s="3"/>
    </row>
    <row r="900" ht="15.75" customHeight="1">
      <c r="C900" s="3"/>
    </row>
    <row r="901" ht="15.75" customHeight="1">
      <c r="C901" s="3"/>
    </row>
    <row r="902" ht="15.75" customHeight="1">
      <c r="C902" s="3"/>
    </row>
    <row r="903" ht="15.75" customHeight="1">
      <c r="C903" s="3"/>
    </row>
    <row r="904" ht="15.75" customHeight="1">
      <c r="C904" s="3"/>
    </row>
    <row r="905" ht="15.75" customHeight="1">
      <c r="C905" s="3"/>
    </row>
    <row r="906" ht="15.75" customHeight="1">
      <c r="C906" s="3"/>
    </row>
    <row r="907" ht="15.75" customHeight="1">
      <c r="C907" s="3"/>
    </row>
    <row r="908" ht="15.75" customHeight="1">
      <c r="C908" s="3"/>
    </row>
    <row r="909" ht="15.75" customHeight="1">
      <c r="C909" s="3"/>
    </row>
    <row r="910" ht="15.75" customHeight="1">
      <c r="C910" s="3"/>
    </row>
    <row r="911" ht="15.75" customHeight="1">
      <c r="C911" s="3"/>
    </row>
    <row r="912" ht="15.75" customHeight="1">
      <c r="C912" s="3"/>
    </row>
    <row r="913" ht="15.75" customHeight="1">
      <c r="C913" s="3"/>
    </row>
    <row r="914" ht="15.75" customHeight="1">
      <c r="C914" s="3"/>
    </row>
    <row r="915" ht="15.75" customHeight="1">
      <c r="C915" s="3"/>
    </row>
    <row r="916" ht="15.75" customHeight="1">
      <c r="C916" s="3"/>
    </row>
    <row r="917" ht="15.75" customHeight="1">
      <c r="C917" s="3"/>
    </row>
    <row r="918" ht="15.75" customHeight="1">
      <c r="C918" s="3"/>
    </row>
    <row r="919" ht="15.75" customHeight="1">
      <c r="C919" s="3"/>
    </row>
    <row r="920" ht="15.75" customHeight="1">
      <c r="C920" s="3"/>
    </row>
    <row r="921" ht="15.75" customHeight="1">
      <c r="C921" s="3"/>
    </row>
    <row r="922" ht="15.75" customHeight="1">
      <c r="C922" s="3"/>
    </row>
    <row r="923" ht="15.75" customHeight="1">
      <c r="C923" s="3"/>
    </row>
    <row r="924" ht="15.75" customHeight="1">
      <c r="C924" s="3"/>
    </row>
    <row r="925" ht="15.75" customHeight="1">
      <c r="C925" s="3"/>
    </row>
    <row r="926" ht="15.75" customHeight="1">
      <c r="C926" s="3"/>
    </row>
    <row r="927" ht="15.75" customHeight="1">
      <c r="C927" s="3"/>
    </row>
    <row r="928" ht="15.75" customHeight="1">
      <c r="C928" s="3"/>
    </row>
    <row r="929" ht="15.75" customHeight="1">
      <c r="C929" s="3"/>
    </row>
    <row r="930" ht="15.75" customHeight="1">
      <c r="C930" s="3"/>
    </row>
    <row r="931" ht="15.75" customHeight="1">
      <c r="C931" s="3"/>
    </row>
    <row r="932" ht="15.75" customHeight="1">
      <c r="C932" s="3"/>
    </row>
    <row r="933" ht="15.75" customHeight="1">
      <c r="C933" s="3"/>
    </row>
    <row r="934" ht="15.75" customHeight="1">
      <c r="C934" s="3"/>
    </row>
    <row r="935" ht="15.75" customHeight="1">
      <c r="C935" s="3"/>
    </row>
    <row r="936" ht="15.75" customHeight="1">
      <c r="C936" s="3"/>
    </row>
    <row r="937" ht="15.75" customHeight="1">
      <c r="C937" s="3"/>
    </row>
    <row r="938" ht="15.75" customHeight="1">
      <c r="C938" s="3"/>
    </row>
    <row r="939" ht="15.75" customHeight="1">
      <c r="C939" s="3"/>
    </row>
    <row r="940" ht="15.75" customHeight="1">
      <c r="C940" s="3"/>
    </row>
    <row r="941" ht="15.75" customHeight="1">
      <c r="C941" s="3"/>
    </row>
    <row r="942" ht="15.75" customHeight="1">
      <c r="C942" s="3"/>
    </row>
    <row r="943" ht="15.75" customHeight="1">
      <c r="C943" s="3"/>
    </row>
    <row r="944" ht="15.75" customHeight="1">
      <c r="C944" s="3"/>
    </row>
    <row r="945" ht="15.75" customHeight="1">
      <c r="C945" s="3"/>
    </row>
    <row r="946" ht="15.75" customHeight="1">
      <c r="C946" s="3"/>
    </row>
    <row r="947" ht="15.75" customHeight="1">
      <c r="C947" s="3"/>
    </row>
    <row r="948" ht="15.75" customHeight="1">
      <c r="C948" s="3"/>
    </row>
    <row r="949" ht="15.75" customHeight="1">
      <c r="C949" s="3"/>
    </row>
    <row r="950" ht="15.75" customHeight="1">
      <c r="C950" s="3"/>
    </row>
    <row r="951" ht="15.75" customHeight="1">
      <c r="C951" s="3"/>
    </row>
    <row r="952" ht="15.75" customHeight="1">
      <c r="C952" s="3"/>
    </row>
    <row r="953" ht="15.75" customHeight="1">
      <c r="C953" s="3"/>
    </row>
    <row r="954" ht="15.75" customHeight="1">
      <c r="C954" s="3"/>
    </row>
    <row r="955" ht="15.75" customHeight="1">
      <c r="C955" s="3"/>
    </row>
    <row r="956" ht="15.75" customHeight="1">
      <c r="C956" s="3"/>
    </row>
    <row r="957" ht="15.75" customHeight="1">
      <c r="C957" s="3"/>
    </row>
    <row r="958" ht="15.75" customHeight="1">
      <c r="C958" s="3"/>
    </row>
    <row r="959" ht="15.75" customHeight="1">
      <c r="C959" s="3"/>
    </row>
    <row r="960" ht="15.75" customHeight="1">
      <c r="C960" s="3"/>
    </row>
    <row r="961" ht="15.75" customHeight="1">
      <c r="C961" s="3"/>
    </row>
    <row r="962" ht="15.75" customHeight="1">
      <c r="C962" s="3"/>
    </row>
    <row r="963" ht="15.75" customHeight="1">
      <c r="C963" s="3"/>
    </row>
    <row r="964" ht="15.75" customHeight="1">
      <c r="C964" s="3"/>
    </row>
    <row r="965" ht="15.75" customHeight="1">
      <c r="C965" s="3"/>
    </row>
    <row r="966" ht="15.75" customHeight="1">
      <c r="C966" s="3"/>
    </row>
    <row r="967" ht="15.75" customHeight="1">
      <c r="C967" s="3"/>
    </row>
    <row r="968" ht="15.75" customHeight="1">
      <c r="C968" s="3"/>
    </row>
    <row r="969" ht="15.75" customHeight="1">
      <c r="C969" s="3"/>
    </row>
    <row r="970" ht="15.75" customHeight="1">
      <c r="C970" s="3"/>
    </row>
    <row r="971" ht="15.75" customHeight="1">
      <c r="C971" s="3"/>
    </row>
    <row r="972" ht="15.75" customHeight="1">
      <c r="C972" s="3"/>
    </row>
    <row r="973" ht="15.75" customHeight="1">
      <c r="C973" s="3"/>
    </row>
    <row r="974" ht="15.75" customHeight="1">
      <c r="C974" s="3"/>
    </row>
    <row r="975" ht="15.75" customHeight="1">
      <c r="C975" s="3"/>
    </row>
    <row r="976" ht="15.75" customHeight="1">
      <c r="C976" s="3"/>
    </row>
    <row r="977" ht="15.75" customHeight="1">
      <c r="C977" s="3"/>
    </row>
    <row r="978" ht="15.75" customHeight="1">
      <c r="C978" s="3"/>
    </row>
    <row r="979" ht="15.75" customHeight="1">
      <c r="C979" s="3"/>
    </row>
    <row r="980" ht="15.75" customHeight="1">
      <c r="C980" s="3"/>
    </row>
    <row r="981" ht="15.75" customHeight="1">
      <c r="C981" s="3"/>
    </row>
    <row r="982" ht="15.75" customHeight="1">
      <c r="C982" s="3"/>
    </row>
    <row r="983" ht="15.75" customHeight="1">
      <c r="C983" s="3"/>
    </row>
    <row r="984" ht="15.75" customHeight="1">
      <c r="C984" s="3"/>
    </row>
    <row r="985" ht="15.75" customHeight="1">
      <c r="C985" s="3"/>
    </row>
    <row r="986" ht="15.75" customHeight="1">
      <c r="C986" s="3"/>
    </row>
    <row r="987" ht="15.75" customHeight="1">
      <c r="C987" s="3"/>
    </row>
    <row r="988" ht="15.75" customHeight="1">
      <c r="C988" s="3"/>
    </row>
    <row r="989" ht="15.75" customHeight="1">
      <c r="C989" s="3"/>
    </row>
    <row r="990" ht="15.75" customHeight="1">
      <c r="C990" s="3"/>
    </row>
    <row r="991" ht="15.75" customHeight="1">
      <c r="C991" s="3"/>
    </row>
    <row r="992" ht="15.75" customHeight="1">
      <c r="C992" s="3"/>
    </row>
    <row r="993" ht="15.75" customHeight="1">
      <c r="C993" s="3"/>
    </row>
    <row r="994" ht="15.75" customHeight="1">
      <c r="C994" s="3"/>
    </row>
    <row r="995" ht="15.75" customHeight="1">
      <c r="C995" s="3"/>
    </row>
    <row r="996" ht="15.75" customHeight="1">
      <c r="C996" s="3"/>
    </row>
    <row r="997" ht="15.75" customHeight="1">
      <c r="C997" s="3"/>
    </row>
    <row r="998" ht="15.75" customHeight="1">
      <c r="C998" s="3"/>
    </row>
    <row r="999" ht="15.75" customHeight="1">
      <c r="C999" s="3"/>
    </row>
    <row r="1000" ht="15.75" customHeight="1">
      <c r="C1000" s="3"/>
    </row>
    <row r="1001" ht="15.75" customHeight="1">
      <c r="C1001" s="3"/>
    </row>
    <row r="1002" ht="15.75" customHeight="1">
      <c r="C1002" s="3"/>
    </row>
    <row r="1003" ht="15.75" customHeight="1">
      <c r="C1003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5" width="12.63"/>
    <col customWidth="1" min="8" max="8" width="8.13"/>
  </cols>
  <sheetData>
    <row r="1" ht="15.75" customHeight="1">
      <c r="A1" s="1" t="s">
        <v>25</v>
      </c>
      <c r="B1" s="1" t="s">
        <v>26</v>
      </c>
      <c r="C1" s="1" t="s">
        <v>27</v>
      </c>
      <c r="D1" s="6" t="s">
        <v>28</v>
      </c>
      <c r="E1" s="1" t="s">
        <v>29</v>
      </c>
      <c r="F1" s="16" t="s">
        <v>30</v>
      </c>
      <c r="G1" s="17" t="s">
        <v>31</v>
      </c>
      <c r="H1" s="1" t="s">
        <v>32</v>
      </c>
      <c r="J1" s="18" t="s">
        <v>33</v>
      </c>
      <c r="K1" s="18" t="s">
        <v>34</v>
      </c>
      <c r="L1" s="18" t="s">
        <v>35</v>
      </c>
      <c r="M1" s="4" t="s">
        <v>36</v>
      </c>
      <c r="N1" s="4" t="s">
        <v>37</v>
      </c>
      <c r="O1" s="4" t="s">
        <v>38</v>
      </c>
    </row>
    <row r="2" ht="30.0" customHeight="1">
      <c r="B2" s="6">
        <v>8.0</v>
      </c>
      <c r="C2" s="6" t="s">
        <v>39</v>
      </c>
      <c r="D2" s="6" t="s">
        <v>40</v>
      </c>
      <c r="E2" s="1" t="s">
        <v>41</v>
      </c>
      <c r="F2" s="16">
        <v>23.4</v>
      </c>
      <c r="G2" s="17">
        <f>F2*Suppliers!$I$1</f>
        <v>17.616807</v>
      </c>
      <c r="H2" s="6">
        <v>10.0</v>
      </c>
      <c r="I2" s="17">
        <f t="shared" ref="I2:I15" si="1">H2*G2</f>
        <v>176.16807</v>
      </c>
      <c r="J2" s="18">
        <f>Suppliers!$B$21</f>
        <v>1.865586224</v>
      </c>
      <c r="K2" s="18">
        <v>0.52</v>
      </c>
      <c r="L2" s="18">
        <v>3.78</v>
      </c>
      <c r="M2" s="19">
        <f t="shared" ref="M2:M15" si="2">G2+J2+K2+L2</f>
        <v>23.78239322</v>
      </c>
      <c r="N2" s="4">
        <v>59.99</v>
      </c>
      <c r="O2" s="20">
        <f t="shared" ref="O2:O15" si="3">(N2-M2)/N2</f>
        <v>0.6035607064</v>
      </c>
    </row>
    <row r="3" ht="30.0" customHeight="1">
      <c r="B3" s="6">
        <v>7.9</v>
      </c>
      <c r="C3" s="1" t="s">
        <v>42</v>
      </c>
      <c r="D3" s="6" t="s">
        <v>43</v>
      </c>
      <c r="E3" s="1" t="s">
        <v>41</v>
      </c>
      <c r="F3" s="16">
        <v>22.87</v>
      </c>
      <c r="G3" s="17">
        <f>F3*Suppliers!$I$1</f>
        <v>17.21779385</v>
      </c>
      <c r="H3" s="6">
        <v>10.0</v>
      </c>
      <c r="I3" s="17">
        <f t="shared" si="1"/>
        <v>172.1779385</v>
      </c>
      <c r="J3" s="18">
        <f>Suppliers!$B$21</f>
        <v>1.865586224</v>
      </c>
      <c r="K3" s="18">
        <v>0.52</v>
      </c>
      <c r="L3" s="18">
        <v>3.78</v>
      </c>
      <c r="M3" s="19">
        <f t="shared" si="2"/>
        <v>23.38338007</v>
      </c>
      <c r="N3" s="4">
        <v>59.99</v>
      </c>
      <c r="O3" s="20">
        <f t="shared" si="3"/>
        <v>0.6102120341</v>
      </c>
    </row>
    <row r="4" ht="30.0" customHeight="1">
      <c r="A4" s="21"/>
      <c r="B4" s="6">
        <v>8.0</v>
      </c>
      <c r="C4" s="22" t="s">
        <v>44</v>
      </c>
      <c r="D4" s="6" t="s">
        <v>45</v>
      </c>
      <c r="E4" s="1" t="s">
        <v>41</v>
      </c>
      <c r="F4" s="16">
        <v>23.84</v>
      </c>
      <c r="G4" s="17">
        <f>F4*Suppliers!$I$1</f>
        <v>17.9480632</v>
      </c>
      <c r="H4" s="6">
        <v>10.0</v>
      </c>
      <c r="I4" s="17">
        <f t="shared" si="1"/>
        <v>179.480632</v>
      </c>
      <c r="J4" s="18">
        <f>Suppliers!$B$21</f>
        <v>1.865586224</v>
      </c>
      <c r="K4" s="18">
        <v>0.52</v>
      </c>
      <c r="L4" s="18">
        <v>3.78</v>
      </c>
      <c r="M4" s="19">
        <f t="shared" si="2"/>
        <v>24.11364942</v>
      </c>
      <c r="N4" s="4">
        <v>59.99</v>
      </c>
      <c r="O4" s="20">
        <f t="shared" si="3"/>
        <v>0.5980388494</v>
      </c>
    </row>
    <row r="5" ht="30.0" customHeight="1">
      <c r="B5" s="6">
        <v>8.5</v>
      </c>
      <c r="C5" s="1" t="s">
        <v>46</v>
      </c>
      <c r="D5" s="6" t="s">
        <v>47</v>
      </c>
      <c r="E5" s="1" t="s">
        <v>41</v>
      </c>
      <c r="F5" s="16">
        <v>21.23</v>
      </c>
      <c r="G5" s="17">
        <f>F5*Suppliers!$I$1</f>
        <v>15.98311165</v>
      </c>
      <c r="H5" s="6">
        <v>10.0</v>
      </c>
      <c r="I5" s="17">
        <f t="shared" si="1"/>
        <v>159.8311165</v>
      </c>
      <c r="J5" s="18">
        <f>Suppliers!$B$21</f>
        <v>1.865586224</v>
      </c>
      <c r="K5" s="18">
        <v>0.52</v>
      </c>
      <c r="L5" s="18">
        <v>3.78</v>
      </c>
      <c r="M5" s="19">
        <f t="shared" si="2"/>
        <v>22.14869787</v>
      </c>
      <c r="N5" s="4">
        <v>59.99</v>
      </c>
      <c r="O5" s="20">
        <f t="shared" si="3"/>
        <v>0.630793501</v>
      </c>
    </row>
    <row r="6" ht="30.0" customHeight="1">
      <c r="A6" s="21"/>
      <c r="B6" s="6">
        <v>8.0</v>
      </c>
      <c r="C6" s="1" t="s">
        <v>48</v>
      </c>
      <c r="D6" s="6" t="s">
        <v>49</v>
      </c>
      <c r="E6" s="1" t="s">
        <v>50</v>
      </c>
      <c r="F6" s="16">
        <v>19.31</v>
      </c>
      <c r="G6" s="17">
        <f>F6*Suppliers!$I$1</f>
        <v>14.53763005</v>
      </c>
      <c r="H6" s="6">
        <v>10.0</v>
      </c>
      <c r="I6" s="17">
        <f t="shared" si="1"/>
        <v>145.3763005</v>
      </c>
      <c r="J6" s="18">
        <f>Suppliers!$B$21</f>
        <v>1.865586224</v>
      </c>
      <c r="K6" s="18">
        <v>0.52</v>
      </c>
      <c r="L6" s="18">
        <v>3.78</v>
      </c>
      <c r="M6" s="19">
        <f t="shared" si="2"/>
        <v>20.70321627</v>
      </c>
      <c r="N6" s="4">
        <v>54.99</v>
      </c>
      <c r="O6" s="20">
        <f t="shared" si="3"/>
        <v>0.6235094331</v>
      </c>
    </row>
    <row r="7" ht="30.0" customHeight="1">
      <c r="B7" s="6">
        <v>8.0</v>
      </c>
      <c r="C7" s="1" t="s">
        <v>51</v>
      </c>
      <c r="D7" s="6" t="s">
        <v>52</v>
      </c>
      <c r="E7" s="1" t="s">
        <v>50</v>
      </c>
      <c r="F7" s="16">
        <v>11.68</v>
      </c>
      <c r="G7" s="17">
        <f>F7*Suppliers!$I$1</f>
        <v>8.7933464</v>
      </c>
      <c r="H7" s="6">
        <v>10.0</v>
      </c>
      <c r="I7" s="17">
        <f t="shared" si="1"/>
        <v>87.933464</v>
      </c>
      <c r="J7" s="18">
        <f>Suppliers!$B$21</f>
        <v>1.865586224</v>
      </c>
      <c r="K7" s="18">
        <v>0.52</v>
      </c>
      <c r="L7" s="18">
        <v>3.78</v>
      </c>
      <c r="M7" s="19">
        <f t="shared" si="2"/>
        <v>14.95893262</v>
      </c>
      <c r="N7" s="4">
        <v>49.99</v>
      </c>
      <c r="O7" s="20">
        <f t="shared" si="3"/>
        <v>0.7007614998</v>
      </c>
    </row>
    <row r="8" ht="30.0" customHeight="1">
      <c r="B8" s="4">
        <v>8.0</v>
      </c>
      <c r="C8" s="1" t="s">
        <v>53</v>
      </c>
      <c r="D8" s="6" t="s">
        <v>45</v>
      </c>
      <c r="E8" s="1" t="s">
        <v>50</v>
      </c>
      <c r="F8" s="16">
        <v>14.09</v>
      </c>
      <c r="G8" s="17">
        <f>F8*Suppliers!$I$1</f>
        <v>10.60772695</v>
      </c>
      <c r="H8" s="6">
        <v>10.0</v>
      </c>
      <c r="I8" s="17">
        <f t="shared" si="1"/>
        <v>106.0772695</v>
      </c>
      <c r="J8" s="18">
        <f>Suppliers!$B$21</f>
        <v>1.865586224</v>
      </c>
      <c r="K8" s="18">
        <v>0.52</v>
      </c>
      <c r="L8" s="18">
        <v>3.78</v>
      </c>
      <c r="M8" s="19">
        <f t="shared" si="2"/>
        <v>16.77331317</v>
      </c>
      <c r="N8" s="4">
        <v>49.99</v>
      </c>
      <c r="O8" s="20">
        <f t="shared" si="3"/>
        <v>0.6644666298</v>
      </c>
    </row>
    <row r="9" ht="30.0" customHeight="1">
      <c r="B9" s="1">
        <v>8.0</v>
      </c>
      <c r="C9" s="1" t="s">
        <v>54</v>
      </c>
      <c r="D9" s="6" t="s">
        <v>52</v>
      </c>
      <c r="E9" s="1" t="s">
        <v>55</v>
      </c>
      <c r="F9" s="16">
        <v>7.24</v>
      </c>
      <c r="G9" s="17">
        <f>F9*Suppliers!$I$1</f>
        <v>5.4506702</v>
      </c>
      <c r="H9" s="6">
        <v>10.0</v>
      </c>
      <c r="I9" s="17">
        <f t="shared" si="1"/>
        <v>54.506702</v>
      </c>
      <c r="J9" s="18">
        <f>Suppliers!$B$21</f>
        <v>1.865586224</v>
      </c>
      <c r="K9" s="18">
        <v>0.52</v>
      </c>
      <c r="L9" s="18">
        <v>3.78</v>
      </c>
      <c r="M9" s="19">
        <f t="shared" si="2"/>
        <v>11.61625642</v>
      </c>
      <c r="N9" s="4">
        <v>39.99</v>
      </c>
      <c r="O9" s="20">
        <f t="shared" si="3"/>
        <v>0.7095209696</v>
      </c>
    </row>
    <row r="10" ht="30.0" customHeight="1">
      <c r="A10" s="21"/>
      <c r="B10" s="1">
        <v>8.5</v>
      </c>
      <c r="C10" s="1" t="s">
        <v>56</v>
      </c>
      <c r="D10" s="6" t="s">
        <v>52</v>
      </c>
      <c r="E10" s="1" t="s">
        <v>55</v>
      </c>
      <c r="F10" s="16">
        <v>13.16</v>
      </c>
      <c r="G10" s="17">
        <f>F10*Suppliers!$I$1</f>
        <v>9.9075718</v>
      </c>
      <c r="H10" s="6">
        <v>10.0</v>
      </c>
      <c r="I10" s="17">
        <f t="shared" si="1"/>
        <v>99.075718</v>
      </c>
      <c r="J10" s="18">
        <f>Suppliers!$B$21</f>
        <v>1.865586224</v>
      </c>
      <c r="K10" s="18">
        <v>0.52</v>
      </c>
      <c r="L10" s="18">
        <v>3.78</v>
      </c>
      <c r="M10" s="19">
        <f t="shared" si="2"/>
        <v>16.07315802</v>
      </c>
      <c r="N10" s="4">
        <v>39.99</v>
      </c>
      <c r="O10" s="20">
        <f t="shared" si="3"/>
        <v>0.598070567</v>
      </c>
    </row>
    <row r="11" ht="30.0" customHeight="1">
      <c r="B11" s="6">
        <v>8.0</v>
      </c>
      <c r="C11" s="6" t="s">
        <v>57</v>
      </c>
      <c r="D11" s="6" t="s">
        <v>58</v>
      </c>
      <c r="E11" s="1" t="s">
        <v>55</v>
      </c>
      <c r="F11" s="16">
        <v>4.0</v>
      </c>
      <c r="G11" s="17">
        <f>F11*Suppliers!$I$1</f>
        <v>3.01142</v>
      </c>
      <c r="H11" s="6">
        <v>10.0</v>
      </c>
      <c r="I11" s="17">
        <f t="shared" si="1"/>
        <v>30.1142</v>
      </c>
      <c r="J11" s="18">
        <f>Suppliers!$B$21</f>
        <v>1.865586224</v>
      </c>
      <c r="K11" s="18">
        <v>0.52</v>
      </c>
      <c r="L11" s="18">
        <v>3.78</v>
      </c>
      <c r="M11" s="19">
        <f t="shared" si="2"/>
        <v>9.177006224</v>
      </c>
      <c r="N11" s="4">
        <v>39.99</v>
      </c>
      <c r="O11" s="20">
        <f t="shared" si="3"/>
        <v>0.7705174738</v>
      </c>
    </row>
    <row r="12" ht="30.0" customHeight="1">
      <c r="B12" s="1">
        <v>8.0</v>
      </c>
      <c r="C12" s="22" t="s">
        <v>59</v>
      </c>
      <c r="D12" s="6" t="s">
        <v>60</v>
      </c>
      <c r="E12" s="1" t="s">
        <v>41</v>
      </c>
      <c r="F12" s="16">
        <v>23.83</v>
      </c>
      <c r="G12" s="17">
        <f>F12*Suppliers!$I$1</f>
        <v>17.94053465</v>
      </c>
      <c r="H12" s="6">
        <v>10.0</v>
      </c>
      <c r="I12" s="17">
        <f t="shared" si="1"/>
        <v>179.4053465</v>
      </c>
      <c r="J12" s="18">
        <f>Suppliers!$B$21</f>
        <v>1.865586224</v>
      </c>
      <c r="K12" s="18">
        <v>0.52</v>
      </c>
      <c r="L12" s="18">
        <v>3.78</v>
      </c>
      <c r="M12" s="19">
        <f t="shared" si="2"/>
        <v>24.10612087</v>
      </c>
      <c r="N12" s="4">
        <v>59.99</v>
      </c>
      <c r="O12" s="20">
        <f t="shared" si="3"/>
        <v>0.5981643462</v>
      </c>
    </row>
    <row r="13" ht="30.0" customHeight="1">
      <c r="B13" s="4">
        <v>8.3</v>
      </c>
      <c r="C13" s="4" t="s">
        <v>61</v>
      </c>
      <c r="D13" s="6" t="s">
        <v>60</v>
      </c>
      <c r="E13" s="4" t="s">
        <v>41</v>
      </c>
      <c r="F13" s="23">
        <v>27.08</v>
      </c>
      <c r="G13" s="17">
        <f>F13*Suppliers!$I$1</f>
        <v>20.3873134</v>
      </c>
      <c r="H13" s="6">
        <v>10.0</v>
      </c>
      <c r="I13" s="17">
        <f t="shared" si="1"/>
        <v>203.873134</v>
      </c>
      <c r="J13" s="18">
        <f>Suppliers!$B$21</f>
        <v>1.865586224</v>
      </c>
      <c r="K13" s="18">
        <v>0.52</v>
      </c>
      <c r="L13" s="18">
        <v>3.78</v>
      </c>
      <c r="M13" s="19">
        <f t="shared" si="2"/>
        <v>26.55289962</v>
      </c>
      <c r="N13" s="4">
        <v>64.99</v>
      </c>
      <c r="O13" s="20">
        <f t="shared" si="3"/>
        <v>0.5914309952</v>
      </c>
    </row>
    <row r="14" ht="30.0" customHeight="1">
      <c r="B14" s="4">
        <v>8.0</v>
      </c>
      <c r="C14" s="24" t="s">
        <v>62</v>
      </c>
      <c r="D14" s="4" t="s">
        <v>63</v>
      </c>
      <c r="E14" s="4" t="s">
        <v>41</v>
      </c>
      <c r="F14" s="23">
        <v>24.34</v>
      </c>
      <c r="G14" s="17">
        <f>F14*Suppliers!$I$1</f>
        <v>18.3244907</v>
      </c>
      <c r="H14" s="6">
        <v>10.0</v>
      </c>
      <c r="I14" s="17">
        <f t="shared" si="1"/>
        <v>183.244907</v>
      </c>
      <c r="J14" s="18">
        <f>Suppliers!$B$21</f>
        <v>1.865586224</v>
      </c>
      <c r="K14" s="18">
        <v>0.52</v>
      </c>
      <c r="L14" s="18">
        <v>3.78</v>
      </c>
      <c r="M14" s="19">
        <f t="shared" si="2"/>
        <v>24.49007692</v>
      </c>
      <c r="N14" s="4">
        <v>59.99</v>
      </c>
      <c r="O14" s="20">
        <f t="shared" si="3"/>
        <v>0.5917640119</v>
      </c>
    </row>
    <row r="15" ht="30.0" customHeight="1">
      <c r="B15" s="4">
        <v>8.0</v>
      </c>
      <c r="C15" s="24" t="s">
        <v>64</v>
      </c>
      <c r="D15" s="4" t="s">
        <v>63</v>
      </c>
      <c r="E15" s="4" t="s">
        <v>41</v>
      </c>
      <c r="F15" s="23">
        <v>23.58</v>
      </c>
      <c r="G15" s="17">
        <f>F15*Suppliers!$I$1</f>
        <v>17.7523209</v>
      </c>
      <c r="H15" s="6">
        <v>10.0</v>
      </c>
      <c r="I15" s="17">
        <f t="shared" si="1"/>
        <v>177.523209</v>
      </c>
      <c r="J15" s="18">
        <f>Suppliers!$B$21</f>
        <v>1.865586224</v>
      </c>
      <c r="K15" s="18">
        <v>0.52</v>
      </c>
      <c r="L15" s="18">
        <v>3.78</v>
      </c>
      <c r="M15" s="19">
        <f t="shared" si="2"/>
        <v>23.91790712</v>
      </c>
      <c r="N15" s="4">
        <v>59.99</v>
      </c>
      <c r="O15" s="20">
        <f t="shared" si="3"/>
        <v>0.6013017649</v>
      </c>
    </row>
    <row r="16" ht="30.0" customHeight="1">
      <c r="F16" s="16"/>
      <c r="G16" s="1" t="s">
        <v>0</v>
      </c>
      <c r="H16" s="1">
        <f t="shared" ref="H16:I16" si="4">SUM(H2:H15)</f>
        <v>140</v>
      </c>
      <c r="I16" s="17">
        <f t="shared" si="4"/>
        <v>1954.788008</v>
      </c>
      <c r="J16" s="5"/>
      <c r="K16" s="5"/>
      <c r="L16" s="5"/>
    </row>
    <row r="17" ht="30.0" customHeight="1">
      <c r="F17" s="16"/>
      <c r="G17" s="17"/>
      <c r="J17" s="5"/>
      <c r="K17" s="5"/>
      <c r="L17" s="5"/>
    </row>
    <row r="18" ht="30.0" customHeight="1">
      <c r="A18" s="4" t="s">
        <v>65</v>
      </c>
      <c r="B18" s="4">
        <v>8.0</v>
      </c>
      <c r="C18" s="4" t="s">
        <v>66</v>
      </c>
      <c r="E18" s="4" t="s">
        <v>41</v>
      </c>
      <c r="F18" s="16">
        <f>G18/Suppliers!I1</f>
        <v>22.76348035</v>
      </c>
      <c r="G18" s="5">
        <f>I18/H18</f>
        <v>17.1376</v>
      </c>
      <c r="H18" s="4">
        <v>50.0</v>
      </c>
      <c r="I18" s="18">
        <v>856.88</v>
      </c>
      <c r="J18" s="18">
        <v>0.0</v>
      </c>
      <c r="K18" s="18">
        <v>0.0</v>
      </c>
      <c r="L18" s="18">
        <v>3.78</v>
      </c>
      <c r="M18" s="5">
        <f>G18+J18+K18+L18</f>
        <v>20.9176</v>
      </c>
      <c r="N18" s="4">
        <v>59.99</v>
      </c>
      <c r="O18" s="20">
        <f>(N18-M18)/N18</f>
        <v>0.6513152192</v>
      </c>
    </row>
    <row r="19" ht="30.0" customHeight="1">
      <c r="F19" s="16"/>
      <c r="G19" s="17"/>
      <c r="J19" s="5"/>
      <c r="K19" s="5"/>
      <c r="L19" s="5"/>
    </row>
    <row r="20" ht="30.0" customHeight="1">
      <c r="B20" s="4">
        <v>8.0</v>
      </c>
      <c r="C20" s="4" t="s">
        <v>67</v>
      </c>
      <c r="D20" s="4" t="s">
        <v>68</v>
      </c>
      <c r="E20" s="4" t="s">
        <v>41</v>
      </c>
      <c r="F20" s="23">
        <v>20.58</v>
      </c>
      <c r="G20" s="17">
        <f>F20*Suppliers!$I$1</f>
        <v>15.4937559</v>
      </c>
      <c r="H20" s="6">
        <v>10.0</v>
      </c>
      <c r="I20" s="17">
        <f t="shared" ref="I20:I24" si="5">H20*G20</f>
        <v>154.937559</v>
      </c>
      <c r="J20" s="18">
        <f>Suppliers!$B$21</f>
        <v>1.865586224</v>
      </c>
      <c r="K20" s="18">
        <v>0.52</v>
      </c>
      <c r="L20" s="18">
        <v>3.78</v>
      </c>
      <c r="M20" s="19">
        <f t="shared" ref="M20:M24" si="6">G20+J20+K20+L20</f>
        <v>21.65934212</v>
      </c>
    </row>
    <row r="21" ht="30.0" customHeight="1">
      <c r="B21" s="4">
        <v>8.0</v>
      </c>
      <c r="C21" s="4" t="s">
        <v>69</v>
      </c>
      <c r="D21" s="4" t="s">
        <v>70</v>
      </c>
      <c r="E21" s="4" t="s">
        <v>41</v>
      </c>
      <c r="F21" s="23">
        <v>24.34</v>
      </c>
      <c r="G21" s="17">
        <f>F21*Suppliers!$I$1</f>
        <v>18.3244907</v>
      </c>
      <c r="H21" s="6">
        <v>10.0</v>
      </c>
      <c r="I21" s="17">
        <f t="shared" si="5"/>
        <v>183.244907</v>
      </c>
      <c r="J21" s="18">
        <f>Suppliers!$B$21</f>
        <v>1.865586224</v>
      </c>
      <c r="K21" s="18">
        <v>0.52</v>
      </c>
      <c r="L21" s="18">
        <v>3.78</v>
      </c>
      <c r="M21" s="19">
        <f t="shared" si="6"/>
        <v>24.49007692</v>
      </c>
    </row>
    <row r="22" ht="30.0" customHeight="1">
      <c r="B22" s="4">
        <v>7.7</v>
      </c>
      <c r="C22" s="4" t="s">
        <v>71</v>
      </c>
      <c r="D22" s="4" t="s">
        <v>72</v>
      </c>
      <c r="E22" s="4" t="s">
        <v>41</v>
      </c>
      <c r="F22" s="23">
        <v>21.43</v>
      </c>
      <c r="G22" s="17">
        <f>F22*Suppliers!$I$1</f>
        <v>16.13368265</v>
      </c>
      <c r="H22" s="6">
        <v>10.0</v>
      </c>
      <c r="I22" s="17">
        <f t="shared" si="5"/>
        <v>161.3368265</v>
      </c>
      <c r="J22" s="18">
        <f>Suppliers!$B$21</f>
        <v>1.865586224</v>
      </c>
      <c r="K22" s="18">
        <v>0.52</v>
      </c>
      <c r="L22" s="18">
        <v>3.78</v>
      </c>
      <c r="M22" s="19">
        <f t="shared" si="6"/>
        <v>22.29926887</v>
      </c>
    </row>
    <row r="23" ht="30.0" customHeight="1">
      <c r="B23" s="4">
        <v>8.0</v>
      </c>
      <c r="C23" s="4" t="s">
        <v>73</v>
      </c>
      <c r="D23" s="4" t="s">
        <v>70</v>
      </c>
      <c r="E23" s="4" t="s">
        <v>41</v>
      </c>
      <c r="F23" s="23">
        <v>23.58</v>
      </c>
      <c r="G23" s="17">
        <f>F23*Suppliers!$I$1</f>
        <v>17.7523209</v>
      </c>
      <c r="H23" s="6">
        <v>10.0</v>
      </c>
      <c r="I23" s="17">
        <f t="shared" si="5"/>
        <v>177.523209</v>
      </c>
      <c r="J23" s="18">
        <f>Suppliers!$B$21</f>
        <v>1.865586224</v>
      </c>
      <c r="K23" s="18">
        <v>0.52</v>
      </c>
      <c r="L23" s="18">
        <v>3.78</v>
      </c>
      <c r="M23" s="19">
        <f t="shared" si="6"/>
        <v>23.91790712</v>
      </c>
    </row>
    <row r="24" ht="33.75" customHeight="1">
      <c r="B24" s="4">
        <v>7.5</v>
      </c>
      <c r="C24" s="4" t="s">
        <v>74</v>
      </c>
      <c r="D24" s="4" t="s">
        <v>43</v>
      </c>
      <c r="E24" s="4" t="s">
        <v>41</v>
      </c>
      <c r="F24" s="23">
        <v>21.42</v>
      </c>
      <c r="G24" s="17">
        <f>F24*Suppliers!$I$1</f>
        <v>16.1261541</v>
      </c>
      <c r="H24" s="6">
        <v>10.0</v>
      </c>
      <c r="I24" s="17">
        <f t="shared" si="5"/>
        <v>161.261541</v>
      </c>
      <c r="J24" s="18">
        <f>Suppliers!$B$21</f>
        <v>1.865586224</v>
      </c>
      <c r="K24" s="18">
        <v>0.52</v>
      </c>
      <c r="L24" s="18">
        <v>3.78</v>
      </c>
      <c r="M24" s="19">
        <f t="shared" si="6"/>
        <v>22.29174032</v>
      </c>
    </row>
    <row r="25" ht="15.75" customHeight="1">
      <c r="F25" s="16"/>
      <c r="G25" s="17"/>
      <c r="J25" s="5"/>
      <c r="K25" s="5"/>
      <c r="L25" s="5"/>
    </row>
    <row r="26" ht="15.75" customHeight="1">
      <c r="F26" s="16"/>
      <c r="G26" s="17"/>
      <c r="J26" s="5"/>
      <c r="K26" s="5"/>
      <c r="L26" s="5"/>
    </row>
    <row r="27" ht="15.75" customHeight="1">
      <c r="F27" s="16"/>
      <c r="G27" s="17"/>
      <c r="J27" s="5"/>
      <c r="K27" s="5"/>
      <c r="L27" s="5"/>
    </row>
    <row r="28" ht="15.75" customHeight="1">
      <c r="F28" s="16"/>
      <c r="G28" s="17"/>
      <c r="J28" s="5"/>
      <c r="K28" s="5"/>
      <c r="L28" s="5"/>
    </row>
    <row r="29" ht="15.75" customHeight="1">
      <c r="F29" s="16"/>
      <c r="G29" s="17"/>
      <c r="J29" s="5"/>
      <c r="K29" s="5"/>
      <c r="L29" s="5"/>
    </row>
    <row r="30" ht="15.75" customHeight="1">
      <c r="F30" s="16"/>
      <c r="G30" s="17"/>
      <c r="J30" s="5"/>
      <c r="K30" s="5"/>
      <c r="L30" s="5"/>
    </row>
    <row r="31" ht="15.75" customHeight="1">
      <c r="F31" s="16"/>
      <c r="G31" s="17"/>
      <c r="J31" s="5"/>
      <c r="K31" s="5"/>
      <c r="L31" s="5"/>
    </row>
    <row r="32" ht="15.75" customHeight="1">
      <c r="F32" s="16"/>
      <c r="G32" s="17"/>
      <c r="J32" s="5"/>
      <c r="K32" s="5"/>
      <c r="L32" s="5"/>
    </row>
    <row r="33" ht="15.75" customHeight="1">
      <c r="F33" s="16"/>
      <c r="G33" s="17"/>
      <c r="J33" s="5"/>
      <c r="K33" s="5"/>
      <c r="L33" s="5"/>
    </row>
    <row r="34" ht="15.75" customHeight="1">
      <c r="F34" s="16"/>
      <c r="G34" s="17"/>
      <c r="J34" s="5"/>
      <c r="K34" s="5"/>
      <c r="L34" s="5"/>
    </row>
    <row r="35" ht="15.75" customHeight="1">
      <c r="F35" s="16"/>
      <c r="G35" s="17"/>
      <c r="J35" s="5"/>
      <c r="K35" s="5"/>
      <c r="L35" s="5"/>
    </row>
    <row r="36" ht="15.75" customHeight="1">
      <c r="F36" s="16"/>
      <c r="G36" s="17"/>
      <c r="J36" s="5"/>
      <c r="K36" s="5"/>
      <c r="L36" s="5"/>
    </row>
    <row r="37" ht="15.75" customHeight="1">
      <c r="F37" s="16"/>
      <c r="G37" s="17"/>
      <c r="J37" s="5"/>
      <c r="K37" s="5"/>
      <c r="L37" s="5"/>
    </row>
    <row r="38" ht="15.75" customHeight="1">
      <c r="F38" s="16"/>
      <c r="G38" s="17"/>
      <c r="J38" s="5"/>
      <c r="K38" s="5"/>
      <c r="L38" s="5"/>
    </row>
    <row r="39" ht="15.75" customHeight="1">
      <c r="F39" s="16"/>
      <c r="G39" s="17"/>
      <c r="J39" s="5"/>
      <c r="K39" s="5"/>
      <c r="L39" s="5"/>
    </row>
    <row r="40" ht="15.75" customHeight="1">
      <c r="F40" s="16"/>
      <c r="G40" s="17"/>
      <c r="J40" s="5"/>
      <c r="K40" s="5"/>
      <c r="L40" s="5"/>
    </row>
    <row r="41" ht="15.75" customHeight="1">
      <c r="F41" s="16"/>
      <c r="G41" s="17"/>
      <c r="J41" s="5"/>
      <c r="K41" s="5"/>
      <c r="L41" s="5"/>
    </row>
    <row r="42" ht="15.75" customHeight="1">
      <c r="F42" s="16"/>
      <c r="G42" s="17"/>
      <c r="J42" s="5"/>
      <c r="K42" s="5"/>
      <c r="L42" s="5"/>
    </row>
    <row r="43" ht="15.75" customHeight="1">
      <c r="F43" s="16"/>
      <c r="G43" s="17"/>
      <c r="J43" s="5"/>
      <c r="K43" s="5"/>
      <c r="L43" s="5"/>
    </row>
    <row r="44" ht="15.75" customHeight="1">
      <c r="F44" s="16"/>
      <c r="G44" s="17"/>
      <c r="J44" s="5"/>
      <c r="K44" s="5"/>
      <c r="L44" s="5"/>
    </row>
    <row r="45" ht="15.75" customHeight="1">
      <c r="F45" s="16"/>
      <c r="G45" s="17"/>
      <c r="J45" s="5"/>
      <c r="K45" s="5"/>
      <c r="L45" s="5"/>
    </row>
    <row r="46" ht="15.75" customHeight="1">
      <c r="F46" s="16"/>
      <c r="G46" s="17"/>
      <c r="J46" s="5"/>
      <c r="K46" s="5"/>
      <c r="L46" s="5"/>
    </row>
    <row r="47" ht="15.75" customHeight="1">
      <c r="F47" s="16"/>
      <c r="G47" s="17"/>
      <c r="J47" s="5"/>
      <c r="K47" s="5"/>
      <c r="L47" s="5"/>
    </row>
    <row r="48" ht="15.75" customHeight="1">
      <c r="F48" s="16"/>
      <c r="G48" s="17"/>
      <c r="J48" s="5"/>
      <c r="K48" s="5"/>
      <c r="L48" s="5"/>
    </row>
    <row r="49" ht="15.75" customHeight="1">
      <c r="F49" s="16"/>
      <c r="G49" s="17"/>
      <c r="J49" s="5"/>
      <c r="K49" s="5"/>
      <c r="L49" s="5"/>
    </row>
    <row r="50" ht="15.75" customHeight="1">
      <c r="F50" s="16"/>
      <c r="G50" s="17"/>
      <c r="J50" s="5"/>
      <c r="K50" s="5"/>
      <c r="L50" s="5"/>
    </row>
    <row r="51" ht="15.75" customHeight="1">
      <c r="F51" s="16"/>
      <c r="G51" s="17"/>
      <c r="J51" s="5"/>
      <c r="K51" s="5"/>
      <c r="L51" s="5"/>
    </row>
    <row r="52" ht="15.75" customHeight="1">
      <c r="F52" s="16"/>
      <c r="G52" s="17"/>
      <c r="J52" s="5"/>
      <c r="K52" s="5"/>
      <c r="L52" s="5"/>
    </row>
    <row r="53" ht="15.75" customHeight="1">
      <c r="F53" s="16"/>
      <c r="G53" s="17"/>
      <c r="J53" s="5"/>
      <c r="K53" s="5"/>
      <c r="L53" s="5"/>
    </row>
    <row r="54" ht="15.75" customHeight="1">
      <c r="F54" s="16"/>
      <c r="G54" s="17"/>
      <c r="J54" s="5"/>
      <c r="K54" s="5"/>
      <c r="L54" s="5"/>
    </row>
    <row r="55" ht="15.75" customHeight="1">
      <c r="F55" s="16"/>
      <c r="G55" s="17"/>
      <c r="J55" s="5"/>
      <c r="K55" s="5"/>
      <c r="L55" s="5"/>
    </row>
    <row r="56" ht="15.75" customHeight="1">
      <c r="F56" s="16"/>
      <c r="G56" s="17"/>
      <c r="J56" s="5"/>
      <c r="K56" s="5"/>
      <c r="L56" s="5"/>
    </row>
    <row r="57" ht="15.75" customHeight="1">
      <c r="F57" s="16"/>
      <c r="G57" s="17"/>
      <c r="J57" s="5"/>
      <c r="K57" s="5"/>
      <c r="L57" s="5"/>
    </row>
    <row r="58" ht="15.75" customHeight="1">
      <c r="F58" s="16"/>
      <c r="G58" s="17"/>
      <c r="J58" s="5"/>
      <c r="K58" s="5"/>
      <c r="L58" s="5"/>
    </row>
    <row r="59" ht="15.75" customHeight="1">
      <c r="F59" s="16"/>
      <c r="G59" s="17"/>
      <c r="J59" s="5"/>
      <c r="K59" s="5"/>
      <c r="L59" s="5"/>
    </row>
    <row r="60" ht="15.75" customHeight="1">
      <c r="F60" s="16"/>
      <c r="G60" s="17"/>
      <c r="J60" s="5"/>
      <c r="K60" s="5"/>
      <c r="L60" s="5"/>
    </row>
    <row r="61" ht="15.75" customHeight="1">
      <c r="F61" s="16"/>
      <c r="G61" s="17"/>
      <c r="J61" s="5"/>
      <c r="K61" s="5"/>
      <c r="L61" s="5"/>
    </row>
    <row r="62" ht="15.75" customHeight="1">
      <c r="F62" s="16"/>
      <c r="G62" s="17"/>
      <c r="J62" s="5"/>
      <c r="K62" s="5"/>
      <c r="L62" s="5"/>
    </row>
    <row r="63" ht="15.75" customHeight="1">
      <c r="F63" s="16"/>
      <c r="G63" s="17"/>
      <c r="J63" s="5"/>
      <c r="K63" s="5"/>
      <c r="L63" s="5"/>
    </row>
    <row r="64" ht="15.75" customHeight="1">
      <c r="F64" s="16"/>
      <c r="G64" s="17"/>
      <c r="J64" s="5"/>
      <c r="K64" s="5"/>
      <c r="L64" s="5"/>
    </row>
    <row r="65" ht="15.75" customHeight="1">
      <c r="F65" s="16"/>
      <c r="G65" s="17"/>
      <c r="J65" s="5"/>
      <c r="K65" s="5"/>
      <c r="L65" s="5"/>
    </row>
    <row r="66" ht="15.75" customHeight="1">
      <c r="F66" s="16"/>
      <c r="G66" s="17"/>
      <c r="J66" s="5"/>
      <c r="K66" s="5"/>
      <c r="L66" s="5"/>
    </row>
    <row r="67" ht="15.75" customHeight="1">
      <c r="F67" s="16"/>
      <c r="G67" s="17"/>
      <c r="J67" s="5"/>
      <c r="K67" s="5"/>
      <c r="L67" s="5"/>
    </row>
    <row r="68" ht="15.75" customHeight="1">
      <c r="F68" s="16"/>
      <c r="G68" s="17"/>
      <c r="J68" s="5"/>
      <c r="K68" s="5"/>
      <c r="L68" s="5"/>
    </row>
    <row r="69" ht="15.75" customHeight="1">
      <c r="F69" s="16"/>
      <c r="G69" s="17"/>
      <c r="J69" s="5"/>
      <c r="K69" s="5"/>
      <c r="L69" s="5"/>
    </row>
    <row r="70" ht="15.75" customHeight="1">
      <c r="F70" s="16"/>
      <c r="G70" s="17"/>
      <c r="J70" s="5"/>
      <c r="K70" s="5"/>
      <c r="L70" s="5"/>
    </row>
    <row r="71" ht="15.75" customHeight="1">
      <c r="F71" s="16"/>
      <c r="G71" s="17"/>
      <c r="J71" s="5"/>
      <c r="K71" s="5"/>
      <c r="L71" s="5"/>
    </row>
    <row r="72" ht="15.75" customHeight="1">
      <c r="F72" s="16"/>
      <c r="G72" s="17"/>
      <c r="J72" s="5"/>
      <c r="K72" s="5"/>
      <c r="L72" s="5"/>
    </row>
    <row r="73" ht="15.75" customHeight="1">
      <c r="F73" s="16"/>
      <c r="G73" s="17"/>
      <c r="J73" s="5"/>
      <c r="K73" s="5"/>
      <c r="L73" s="5"/>
    </row>
    <row r="74" ht="15.75" customHeight="1">
      <c r="F74" s="16"/>
      <c r="G74" s="17"/>
      <c r="J74" s="5"/>
      <c r="K74" s="5"/>
      <c r="L74" s="5"/>
    </row>
    <row r="75" ht="15.75" customHeight="1">
      <c r="F75" s="16"/>
      <c r="G75" s="17"/>
      <c r="J75" s="5"/>
      <c r="K75" s="5"/>
      <c r="L75" s="5"/>
    </row>
    <row r="76" ht="15.75" customHeight="1">
      <c r="F76" s="16"/>
      <c r="G76" s="17"/>
      <c r="J76" s="5"/>
      <c r="K76" s="5"/>
      <c r="L76" s="5"/>
    </row>
    <row r="77" ht="15.75" customHeight="1">
      <c r="F77" s="16"/>
      <c r="G77" s="17"/>
      <c r="J77" s="5"/>
      <c r="K77" s="5"/>
      <c r="L77" s="5"/>
    </row>
    <row r="78" ht="15.75" customHeight="1">
      <c r="F78" s="16"/>
      <c r="G78" s="17"/>
      <c r="J78" s="5"/>
      <c r="K78" s="5"/>
      <c r="L78" s="5"/>
    </row>
    <row r="79" ht="15.75" customHeight="1">
      <c r="F79" s="16"/>
      <c r="G79" s="17"/>
      <c r="J79" s="5"/>
      <c r="K79" s="5"/>
      <c r="L79" s="5"/>
    </row>
    <row r="80" ht="15.75" customHeight="1">
      <c r="F80" s="16"/>
      <c r="G80" s="17"/>
      <c r="J80" s="5"/>
      <c r="K80" s="5"/>
      <c r="L80" s="5"/>
    </row>
    <row r="81" ht="15.75" customHeight="1">
      <c r="F81" s="16"/>
      <c r="G81" s="17"/>
      <c r="J81" s="5"/>
      <c r="K81" s="5"/>
      <c r="L81" s="5"/>
    </row>
    <row r="82" ht="15.75" customHeight="1">
      <c r="F82" s="16"/>
      <c r="G82" s="17"/>
      <c r="J82" s="5"/>
      <c r="K82" s="5"/>
      <c r="L82" s="5"/>
    </row>
    <row r="83" ht="15.75" customHeight="1">
      <c r="F83" s="16"/>
      <c r="G83" s="17"/>
      <c r="J83" s="5"/>
      <c r="K83" s="5"/>
      <c r="L83" s="5"/>
    </row>
    <row r="84" ht="15.75" customHeight="1">
      <c r="F84" s="16"/>
      <c r="G84" s="17"/>
      <c r="J84" s="5"/>
      <c r="K84" s="5"/>
      <c r="L84" s="5"/>
    </row>
    <row r="85" ht="15.75" customHeight="1">
      <c r="F85" s="16"/>
      <c r="G85" s="17"/>
      <c r="J85" s="5"/>
      <c r="K85" s="5"/>
      <c r="L85" s="5"/>
    </row>
    <row r="86" ht="15.75" customHeight="1">
      <c r="F86" s="16"/>
      <c r="G86" s="17"/>
      <c r="J86" s="5"/>
      <c r="K86" s="5"/>
      <c r="L86" s="5"/>
    </row>
    <row r="87" ht="15.75" customHeight="1">
      <c r="F87" s="16"/>
      <c r="G87" s="17"/>
      <c r="J87" s="5"/>
      <c r="K87" s="5"/>
      <c r="L87" s="5"/>
    </row>
    <row r="88" ht="15.75" customHeight="1">
      <c r="F88" s="16"/>
      <c r="G88" s="17"/>
      <c r="J88" s="5"/>
      <c r="K88" s="5"/>
      <c r="L88" s="5"/>
    </row>
    <row r="89" ht="15.75" customHeight="1">
      <c r="F89" s="16"/>
      <c r="G89" s="17"/>
      <c r="J89" s="5"/>
      <c r="K89" s="5"/>
      <c r="L89" s="5"/>
    </row>
    <row r="90" ht="15.75" customHeight="1">
      <c r="F90" s="16"/>
      <c r="G90" s="17"/>
      <c r="J90" s="5"/>
      <c r="K90" s="5"/>
      <c r="L90" s="5"/>
    </row>
    <row r="91" ht="15.75" customHeight="1">
      <c r="F91" s="16"/>
      <c r="G91" s="17"/>
      <c r="J91" s="5"/>
      <c r="K91" s="5"/>
      <c r="L91" s="5"/>
    </row>
    <row r="92" ht="15.75" customHeight="1">
      <c r="F92" s="16"/>
      <c r="G92" s="17"/>
      <c r="J92" s="5"/>
      <c r="K92" s="5"/>
      <c r="L92" s="5"/>
    </row>
    <row r="93" ht="15.75" customHeight="1">
      <c r="F93" s="16"/>
      <c r="G93" s="17"/>
      <c r="J93" s="5"/>
      <c r="K93" s="5"/>
      <c r="L93" s="5"/>
    </row>
    <row r="94" ht="15.75" customHeight="1">
      <c r="F94" s="16"/>
      <c r="G94" s="17"/>
      <c r="J94" s="5"/>
      <c r="K94" s="5"/>
      <c r="L94" s="5"/>
    </row>
    <row r="95" ht="15.75" customHeight="1">
      <c r="F95" s="16"/>
      <c r="G95" s="17"/>
      <c r="J95" s="5"/>
      <c r="K95" s="5"/>
      <c r="L95" s="5"/>
    </row>
    <row r="96" ht="15.75" customHeight="1">
      <c r="F96" s="16"/>
      <c r="G96" s="17"/>
      <c r="J96" s="5"/>
      <c r="K96" s="5"/>
      <c r="L96" s="5"/>
    </row>
    <row r="97" ht="15.75" customHeight="1">
      <c r="F97" s="16"/>
      <c r="G97" s="17"/>
      <c r="J97" s="5"/>
      <c r="K97" s="5"/>
      <c r="L97" s="5"/>
    </row>
    <row r="98" ht="15.75" customHeight="1">
      <c r="F98" s="16"/>
      <c r="G98" s="17"/>
      <c r="J98" s="5"/>
      <c r="K98" s="5"/>
      <c r="L98" s="5"/>
    </row>
    <row r="99" ht="15.75" customHeight="1">
      <c r="F99" s="16"/>
      <c r="G99" s="17"/>
      <c r="J99" s="5"/>
      <c r="K99" s="5"/>
      <c r="L99" s="5"/>
    </row>
    <row r="100" ht="15.75" customHeight="1">
      <c r="F100" s="16"/>
      <c r="G100" s="17"/>
      <c r="J100" s="5"/>
      <c r="K100" s="5"/>
      <c r="L100" s="5"/>
    </row>
    <row r="101" ht="15.75" customHeight="1">
      <c r="F101" s="16"/>
      <c r="G101" s="17"/>
      <c r="J101" s="5"/>
      <c r="K101" s="5"/>
      <c r="L101" s="5"/>
    </row>
    <row r="102" ht="15.75" customHeight="1">
      <c r="F102" s="16"/>
      <c r="G102" s="17"/>
      <c r="J102" s="5"/>
      <c r="K102" s="5"/>
      <c r="L102" s="5"/>
    </row>
    <row r="103" ht="15.75" customHeight="1">
      <c r="F103" s="16"/>
      <c r="G103" s="17"/>
      <c r="J103" s="5"/>
      <c r="K103" s="5"/>
      <c r="L103" s="5"/>
    </row>
    <row r="104" ht="15.75" customHeight="1">
      <c r="F104" s="16"/>
      <c r="G104" s="17"/>
      <c r="J104" s="5"/>
      <c r="K104" s="5"/>
      <c r="L104" s="5"/>
    </row>
    <row r="105" ht="15.75" customHeight="1">
      <c r="F105" s="16"/>
      <c r="G105" s="17"/>
      <c r="J105" s="5"/>
      <c r="K105" s="5"/>
      <c r="L105" s="5"/>
    </row>
    <row r="106" ht="15.75" customHeight="1">
      <c r="F106" s="16"/>
      <c r="G106" s="17"/>
      <c r="J106" s="5"/>
      <c r="K106" s="5"/>
      <c r="L106" s="5"/>
    </row>
    <row r="107" ht="15.75" customHeight="1">
      <c r="F107" s="16"/>
      <c r="G107" s="17"/>
      <c r="J107" s="5"/>
      <c r="K107" s="5"/>
      <c r="L107" s="5"/>
    </row>
    <row r="108" ht="15.75" customHeight="1">
      <c r="F108" s="16"/>
      <c r="G108" s="17"/>
      <c r="J108" s="5"/>
      <c r="K108" s="5"/>
      <c r="L108" s="5"/>
    </row>
    <row r="109" ht="15.75" customHeight="1">
      <c r="F109" s="16"/>
      <c r="G109" s="17"/>
      <c r="J109" s="5"/>
      <c r="K109" s="5"/>
      <c r="L109" s="5"/>
    </row>
    <row r="110" ht="15.75" customHeight="1">
      <c r="F110" s="16"/>
      <c r="G110" s="17"/>
      <c r="J110" s="5"/>
      <c r="K110" s="5"/>
      <c r="L110" s="5"/>
    </row>
    <row r="111" ht="15.75" customHeight="1">
      <c r="F111" s="16"/>
      <c r="G111" s="17"/>
      <c r="J111" s="5"/>
      <c r="K111" s="5"/>
      <c r="L111" s="5"/>
    </row>
    <row r="112" ht="15.75" customHeight="1">
      <c r="F112" s="16"/>
      <c r="G112" s="17"/>
      <c r="J112" s="5"/>
      <c r="K112" s="5"/>
      <c r="L112" s="5"/>
    </row>
    <row r="113" ht="15.75" customHeight="1">
      <c r="F113" s="16"/>
      <c r="G113" s="17"/>
      <c r="J113" s="5"/>
      <c r="K113" s="5"/>
      <c r="L113" s="5"/>
    </row>
    <row r="114" ht="15.75" customHeight="1">
      <c r="F114" s="16"/>
      <c r="G114" s="17"/>
      <c r="J114" s="5"/>
      <c r="K114" s="5"/>
      <c r="L114" s="5"/>
    </row>
    <row r="115" ht="15.75" customHeight="1">
      <c r="F115" s="16"/>
      <c r="G115" s="17"/>
      <c r="J115" s="5"/>
      <c r="K115" s="5"/>
      <c r="L115" s="5"/>
    </row>
    <row r="116" ht="15.75" customHeight="1">
      <c r="F116" s="16"/>
      <c r="G116" s="17"/>
      <c r="J116" s="5"/>
      <c r="K116" s="5"/>
      <c r="L116" s="5"/>
    </row>
    <row r="117" ht="15.75" customHeight="1">
      <c r="F117" s="16"/>
      <c r="G117" s="17"/>
      <c r="J117" s="5"/>
      <c r="K117" s="5"/>
      <c r="L117" s="5"/>
    </row>
    <row r="118" ht="15.75" customHeight="1">
      <c r="F118" s="16"/>
      <c r="G118" s="17"/>
      <c r="J118" s="5"/>
      <c r="K118" s="5"/>
      <c r="L118" s="5"/>
    </row>
    <row r="119" ht="15.75" customHeight="1">
      <c r="F119" s="16"/>
      <c r="G119" s="17"/>
      <c r="J119" s="5"/>
      <c r="K119" s="5"/>
      <c r="L119" s="5"/>
    </row>
    <row r="120" ht="15.75" customHeight="1">
      <c r="F120" s="16"/>
      <c r="G120" s="17"/>
      <c r="J120" s="5"/>
      <c r="K120" s="5"/>
      <c r="L120" s="5"/>
    </row>
    <row r="121" ht="15.75" customHeight="1">
      <c r="F121" s="16"/>
      <c r="G121" s="17"/>
      <c r="J121" s="5"/>
      <c r="K121" s="5"/>
      <c r="L121" s="5"/>
    </row>
    <row r="122" ht="15.75" customHeight="1">
      <c r="F122" s="16"/>
      <c r="G122" s="17"/>
      <c r="J122" s="5"/>
      <c r="K122" s="5"/>
      <c r="L122" s="5"/>
    </row>
    <row r="123" ht="15.75" customHeight="1">
      <c r="F123" s="16"/>
      <c r="G123" s="17"/>
      <c r="J123" s="5"/>
      <c r="K123" s="5"/>
      <c r="L123" s="5"/>
    </row>
    <row r="124" ht="15.75" customHeight="1">
      <c r="F124" s="16"/>
      <c r="G124" s="17"/>
      <c r="J124" s="5"/>
      <c r="K124" s="5"/>
      <c r="L124" s="5"/>
    </row>
    <row r="125" ht="15.75" customHeight="1">
      <c r="F125" s="16"/>
      <c r="G125" s="17"/>
      <c r="J125" s="5"/>
      <c r="K125" s="5"/>
      <c r="L125" s="5"/>
    </row>
    <row r="126" ht="15.75" customHeight="1">
      <c r="F126" s="16"/>
      <c r="G126" s="17"/>
      <c r="J126" s="5"/>
      <c r="K126" s="5"/>
      <c r="L126" s="5"/>
    </row>
    <row r="127" ht="15.75" customHeight="1">
      <c r="F127" s="16"/>
      <c r="G127" s="17"/>
      <c r="J127" s="5"/>
      <c r="K127" s="5"/>
      <c r="L127" s="5"/>
    </row>
    <row r="128" ht="15.75" customHeight="1">
      <c r="F128" s="16"/>
      <c r="G128" s="17"/>
      <c r="J128" s="5"/>
      <c r="K128" s="5"/>
      <c r="L128" s="5"/>
    </row>
    <row r="129" ht="15.75" customHeight="1">
      <c r="F129" s="16"/>
      <c r="G129" s="17"/>
      <c r="J129" s="5"/>
      <c r="K129" s="5"/>
      <c r="L129" s="5"/>
    </row>
    <row r="130" ht="15.75" customHeight="1">
      <c r="F130" s="16"/>
      <c r="G130" s="17"/>
      <c r="J130" s="5"/>
      <c r="K130" s="5"/>
      <c r="L130" s="5"/>
    </row>
    <row r="131" ht="15.75" customHeight="1">
      <c r="F131" s="16"/>
      <c r="G131" s="17"/>
      <c r="J131" s="5"/>
      <c r="K131" s="5"/>
      <c r="L131" s="5"/>
    </row>
    <row r="132" ht="15.75" customHeight="1">
      <c r="F132" s="16"/>
      <c r="G132" s="17"/>
      <c r="J132" s="5"/>
      <c r="K132" s="5"/>
      <c r="L132" s="5"/>
    </row>
    <row r="133" ht="15.75" customHeight="1">
      <c r="F133" s="16"/>
      <c r="G133" s="17"/>
      <c r="J133" s="5"/>
      <c r="K133" s="5"/>
      <c r="L133" s="5"/>
    </row>
    <row r="134" ht="15.75" customHeight="1">
      <c r="F134" s="16"/>
      <c r="G134" s="17"/>
      <c r="J134" s="5"/>
      <c r="K134" s="5"/>
      <c r="L134" s="5"/>
    </row>
    <row r="135" ht="15.75" customHeight="1">
      <c r="F135" s="16"/>
      <c r="G135" s="17"/>
      <c r="J135" s="5"/>
      <c r="K135" s="5"/>
      <c r="L135" s="5"/>
    </row>
    <row r="136" ht="15.75" customHeight="1">
      <c r="F136" s="16"/>
      <c r="G136" s="17"/>
      <c r="J136" s="5"/>
      <c r="K136" s="5"/>
      <c r="L136" s="5"/>
    </row>
    <row r="137" ht="15.75" customHeight="1">
      <c r="F137" s="16"/>
      <c r="G137" s="17"/>
      <c r="J137" s="5"/>
      <c r="K137" s="5"/>
      <c r="L137" s="5"/>
    </row>
    <row r="138" ht="15.75" customHeight="1">
      <c r="F138" s="16"/>
      <c r="G138" s="17"/>
      <c r="J138" s="5"/>
      <c r="K138" s="5"/>
      <c r="L138" s="5"/>
    </row>
    <row r="139" ht="15.75" customHeight="1">
      <c r="F139" s="16"/>
      <c r="G139" s="17"/>
      <c r="J139" s="5"/>
      <c r="K139" s="5"/>
      <c r="L139" s="5"/>
    </row>
    <row r="140" ht="15.75" customHeight="1">
      <c r="F140" s="16"/>
      <c r="G140" s="17"/>
      <c r="J140" s="5"/>
      <c r="K140" s="5"/>
      <c r="L140" s="5"/>
    </row>
    <row r="141" ht="15.75" customHeight="1">
      <c r="F141" s="16"/>
      <c r="G141" s="17"/>
      <c r="J141" s="5"/>
      <c r="K141" s="5"/>
      <c r="L141" s="5"/>
    </row>
    <row r="142" ht="15.75" customHeight="1">
      <c r="F142" s="16"/>
      <c r="G142" s="17"/>
      <c r="J142" s="5"/>
      <c r="K142" s="5"/>
      <c r="L142" s="5"/>
    </row>
    <row r="143" ht="15.75" customHeight="1">
      <c r="F143" s="16"/>
      <c r="G143" s="17"/>
      <c r="J143" s="5"/>
      <c r="K143" s="5"/>
      <c r="L143" s="5"/>
    </row>
    <row r="144" ht="15.75" customHeight="1">
      <c r="F144" s="16"/>
      <c r="G144" s="17"/>
      <c r="J144" s="5"/>
      <c r="K144" s="5"/>
      <c r="L144" s="5"/>
    </row>
    <row r="145" ht="15.75" customHeight="1">
      <c r="F145" s="16"/>
      <c r="G145" s="17"/>
      <c r="J145" s="5"/>
      <c r="K145" s="5"/>
      <c r="L145" s="5"/>
    </row>
    <row r="146" ht="15.75" customHeight="1">
      <c r="F146" s="16"/>
      <c r="G146" s="17"/>
      <c r="J146" s="5"/>
      <c r="K146" s="5"/>
      <c r="L146" s="5"/>
    </row>
    <row r="147" ht="15.75" customHeight="1">
      <c r="F147" s="16"/>
      <c r="G147" s="17"/>
      <c r="J147" s="5"/>
      <c r="K147" s="5"/>
      <c r="L147" s="5"/>
    </row>
    <row r="148" ht="15.75" customHeight="1">
      <c r="F148" s="16"/>
      <c r="G148" s="17"/>
      <c r="J148" s="5"/>
      <c r="K148" s="5"/>
      <c r="L148" s="5"/>
    </row>
    <row r="149" ht="15.75" customHeight="1">
      <c r="F149" s="16"/>
      <c r="G149" s="17"/>
      <c r="J149" s="5"/>
      <c r="K149" s="5"/>
      <c r="L149" s="5"/>
    </row>
    <row r="150" ht="15.75" customHeight="1">
      <c r="F150" s="16"/>
      <c r="G150" s="17"/>
      <c r="J150" s="5"/>
      <c r="K150" s="5"/>
      <c r="L150" s="5"/>
    </row>
    <row r="151" ht="15.75" customHeight="1">
      <c r="F151" s="16"/>
      <c r="G151" s="17"/>
      <c r="J151" s="5"/>
      <c r="K151" s="5"/>
      <c r="L151" s="5"/>
    </row>
    <row r="152" ht="15.75" customHeight="1">
      <c r="F152" s="16"/>
      <c r="G152" s="17"/>
      <c r="J152" s="5"/>
      <c r="K152" s="5"/>
      <c r="L152" s="5"/>
    </row>
    <row r="153" ht="15.75" customHeight="1">
      <c r="F153" s="16"/>
      <c r="G153" s="17"/>
      <c r="J153" s="5"/>
      <c r="K153" s="5"/>
      <c r="L153" s="5"/>
    </row>
    <row r="154" ht="15.75" customHeight="1">
      <c r="F154" s="16"/>
      <c r="G154" s="17"/>
      <c r="J154" s="5"/>
      <c r="K154" s="5"/>
      <c r="L154" s="5"/>
    </row>
    <row r="155" ht="15.75" customHeight="1">
      <c r="F155" s="16"/>
      <c r="G155" s="17"/>
      <c r="J155" s="5"/>
      <c r="K155" s="5"/>
      <c r="L155" s="5"/>
    </row>
    <row r="156" ht="15.75" customHeight="1">
      <c r="F156" s="16"/>
      <c r="G156" s="17"/>
      <c r="J156" s="5"/>
      <c r="K156" s="5"/>
      <c r="L156" s="5"/>
    </row>
    <row r="157" ht="15.75" customHeight="1">
      <c r="F157" s="16"/>
      <c r="G157" s="17"/>
      <c r="J157" s="5"/>
      <c r="K157" s="5"/>
      <c r="L157" s="5"/>
    </row>
    <row r="158" ht="15.75" customHeight="1">
      <c r="F158" s="16"/>
      <c r="G158" s="17"/>
      <c r="J158" s="5"/>
      <c r="K158" s="5"/>
      <c r="L158" s="5"/>
    </row>
    <row r="159" ht="15.75" customHeight="1">
      <c r="F159" s="16"/>
      <c r="G159" s="17"/>
      <c r="J159" s="5"/>
      <c r="K159" s="5"/>
      <c r="L159" s="5"/>
    </row>
    <row r="160" ht="15.75" customHeight="1">
      <c r="F160" s="16"/>
      <c r="G160" s="17"/>
      <c r="J160" s="5"/>
      <c r="K160" s="5"/>
      <c r="L160" s="5"/>
    </row>
    <row r="161" ht="15.75" customHeight="1">
      <c r="F161" s="16"/>
      <c r="G161" s="17"/>
      <c r="J161" s="5"/>
      <c r="K161" s="5"/>
      <c r="L161" s="5"/>
    </row>
    <row r="162" ht="15.75" customHeight="1">
      <c r="F162" s="16"/>
      <c r="G162" s="17"/>
      <c r="J162" s="5"/>
      <c r="K162" s="5"/>
      <c r="L162" s="5"/>
    </row>
    <row r="163" ht="15.75" customHeight="1">
      <c r="F163" s="16"/>
      <c r="G163" s="17"/>
      <c r="J163" s="5"/>
      <c r="K163" s="5"/>
      <c r="L163" s="5"/>
    </row>
    <row r="164" ht="15.75" customHeight="1">
      <c r="F164" s="16"/>
      <c r="G164" s="17"/>
      <c r="J164" s="5"/>
      <c r="K164" s="5"/>
      <c r="L164" s="5"/>
    </row>
    <row r="165" ht="15.75" customHeight="1">
      <c r="F165" s="16"/>
      <c r="G165" s="17"/>
      <c r="J165" s="5"/>
      <c r="K165" s="5"/>
      <c r="L165" s="5"/>
    </row>
    <row r="166" ht="15.75" customHeight="1">
      <c r="F166" s="16"/>
      <c r="G166" s="17"/>
      <c r="J166" s="5"/>
      <c r="K166" s="5"/>
      <c r="L166" s="5"/>
    </row>
    <row r="167" ht="15.75" customHeight="1">
      <c r="F167" s="16"/>
      <c r="G167" s="17"/>
      <c r="J167" s="5"/>
      <c r="K167" s="5"/>
      <c r="L167" s="5"/>
    </row>
    <row r="168" ht="15.75" customHeight="1">
      <c r="F168" s="16"/>
      <c r="G168" s="17"/>
      <c r="J168" s="5"/>
      <c r="K168" s="5"/>
      <c r="L168" s="5"/>
    </row>
    <row r="169" ht="15.75" customHeight="1">
      <c r="F169" s="16"/>
      <c r="G169" s="17"/>
      <c r="J169" s="5"/>
      <c r="K169" s="5"/>
      <c r="L169" s="5"/>
    </row>
    <row r="170" ht="15.75" customHeight="1">
      <c r="F170" s="16"/>
      <c r="G170" s="17"/>
      <c r="J170" s="5"/>
      <c r="K170" s="5"/>
      <c r="L170" s="5"/>
    </row>
    <row r="171" ht="15.75" customHeight="1">
      <c r="F171" s="16"/>
      <c r="G171" s="17"/>
      <c r="J171" s="5"/>
      <c r="K171" s="5"/>
      <c r="L171" s="5"/>
    </row>
    <row r="172" ht="15.75" customHeight="1">
      <c r="F172" s="16"/>
      <c r="G172" s="17"/>
      <c r="J172" s="5"/>
      <c r="K172" s="5"/>
      <c r="L172" s="5"/>
    </row>
    <row r="173" ht="15.75" customHeight="1">
      <c r="F173" s="16"/>
      <c r="G173" s="17"/>
      <c r="J173" s="5"/>
      <c r="K173" s="5"/>
      <c r="L173" s="5"/>
    </row>
    <row r="174" ht="15.75" customHeight="1">
      <c r="F174" s="16"/>
      <c r="G174" s="17"/>
      <c r="J174" s="5"/>
      <c r="K174" s="5"/>
      <c r="L174" s="5"/>
    </row>
    <row r="175" ht="15.75" customHeight="1">
      <c r="F175" s="16"/>
      <c r="G175" s="17"/>
      <c r="J175" s="5"/>
      <c r="K175" s="5"/>
      <c r="L175" s="5"/>
    </row>
    <row r="176" ht="15.75" customHeight="1">
      <c r="F176" s="16"/>
      <c r="G176" s="17"/>
      <c r="J176" s="5"/>
      <c r="K176" s="5"/>
      <c r="L176" s="5"/>
    </row>
    <row r="177" ht="15.75" customHeight="1">
      <c r="F177" s="16"/>
      <c r="G177" s="17"/>
      <c r="J177" s="5"/>
      <c r="K177" s="5"/>
      <c r="L177" s="5"/>
    </row>
    <row r="178" ht="15.75" customHeight="1">
      <c r="F178" s="16"/>
      <c r="G178" s="17"/>
      <c r="J178" s="5"/>
      <c r="K178" s="5"/>
      <c r="L178" s="5"/>
    </row>
    <row r="179" ht="15.75" customHeight="1">
      <c r="F179" s="16"/>
      <c r="G179" s="17"/>
      <c r="J179" s="5"/>
      <c r="K179" s="5"/>
      <c r="L179" s="5"/>
    </row>
    <row r="180" ht="15.75" customHeight="1">
      <c r="F180" s="16"/>
      <c r="G180" s="17"/>
      <c r="J180" s="5"/>
      <c r="K180" s="5"/>
      <c r="L180" s="5"/>
    </row>
    <row r="181" ht="15.75" customHeight="1">
      <c r="F181" s="16"/>
      <c r="G181" s="17"/>
      <c r="J181" s="5"/>
      <c r="K181" s="5"/>
      <c r="L181" s="5"/>
    </row>
    <row r="182" ht="15.75" customHeight="1">
      <c r="F182" s="16"/>
      <c r="G182" s="17"/>
      <c r="J182" s="5"/>
      <c r="K182" s="5"/>
      <c r="L182" s="5"/>
    </row>
    <row r="183" ht="15.75" customHeight="1">
      <c r="F183" s="16"/>
      <c r="G183" s="17"/>
      <c r="J183" s="5"/>
      <c r="K183" s="5"/>
      <c r="L183" s="5"/>
    </row>
    <row r="184" ht="15.75" customHeight="1">
      <c r="F184" s="16"/>
      <c r="G184" s="17"/>
      <c r="J184" s="5"/>
      <c r="K184" s="5"/>
      <c r="L184" s="5"/>
    </row>
    <row r="185" ht="15.75" customHeight="1">
      <c r="F185" s="16"/>
      <c r="G185" s="17"/>
      <c r="J185" s="5"/>
      <c r="K185" s="5"/>
      <c r="L185" s="5"/>
    </row>
    <row r="186" ht="15.75" customHeight="1">
      <c r="F186" s="16"/>
      <c r="G186" s="17"/>
      <c r="J186" s="5"/>
      <c r="K186" s="5"/>
      <c r="L186" s="5"/>
    </row>
    <row r="187" ht="15.75" customHeight="1">
      <c r="F187" s="16"/>
      <c r="G187" s="17"/>
      <c r="J187" s="5"/>
      <c r="K187" s="5"/>
      <c r="L187" s="5"/>
    </row>
    <row r="188" ht="15.75" customHeight="1">
      <c r="F188" s="16"/>
      <c r="G188" s="17"/>
      <c r="J188" s="5"/>
      <c r="K188" s="5"/>
      <c r="L188" s="5"/>
    </row>
    <row r="189" ht="15.75" customHeight="1">
      <c r="F189" s="16"/>
      <c r="G189" s="17"/>
      <c r="J189" s="5"/>
      <c r="K189" s="5"/>
      <c r="L189" s="5"/>
    </row>
    <row r="190" ht="15.75" customHeight="1">
      <c r="F190" s="16"/>
      <c r="G190" s="17"/>
      <c r="J190" s="5"/>
      <c r="K190" s="5"/>
      <c r="L190" s="5"/>
    </row>
    <row r="191" ht="15.75" customHeight="1">
      <c r="F191" s="16"/>
      <c r="G191" s="17"/>
      <c r="J191" s="5"/>
      <c r="K191" s="5"/>
      <c r="L191" s="5"/>
    </row>
    <row r="192" ht="15.75" customHeight="1">
      <c r="F192" s="16"/>
      <c r="G192" s="17"/>
      <c r="J192" s="5"/>
      <c r="K192" s="5"/>
      <c r="L192" s="5"/>
    </row>
    <row r="193" ht="15.75" customHeight="1">
      <c r="F193" s="16"/>
      <c r="G193" s="17"/>
      <c r="J193" s="5"/>
      <c r="K193" s="5"/>
      <c r="L193" s="5"/>
    </row>
    <row r="194" ht="15.75" customHeight="1">
      <c r="F194" s="16"/>
      <c r="G194" s="17"/>
      <c r="J194" s="5"/>
      <c r="K194" s="5"/>
      <c r="L194" s="5"/>
    </row>
    <row r="195" ht="15.75" customHeight="1">
      <c r="F195" s="16"/>
      <c r="G195" s="17"/>
      <c r="J195" s="5"/>
      <c r="K195" s="5"/>
      <c r="L195" s="5"/>
    </row>
    <row r="196" ht="15.75" customHeight="1">
      <c r="F196" s="16"/>
      <c r="G196" s="17"/>
      <c r="J196" s="5"/>
      <c r="K196" s="5"/>
      <c r="L196" s="5"/>
    </row>
    <row r="197" ht="15.75" customHeight="1">
      <c r="F197" s="16"/>
      <c r="G197" s="17"/>
      <c r="J197" s="5"/>
      <c r="K197" s="5"/>
      <c r="L197" s="5"/>
    </row>
    <row r="198" ht="15.75" customHeight="1">
      <c r="F198" s="16"/>
      <c r="G198" s="17"/>
      <c r="J198" s="5"/>
      <c r="K198" s="5"/>
      <c r="L198" s="5"/>
    </row>
    <row r="199" ht="15.75" customHeight="1">
      <c r="F199" s="16"/>
      <c r="G199" s="17"/>
      <c r="J199" s="5"/>
      <c r="K199" s="5"/>
      <c r="L199" s="5"/>
    </row>
    <row r="200" ht="15.75" customHeight="1">
      <c r="F200" s="16"/>
      <c r="G200" s="17"/>
      <c r="J200" s="5"/>
      <c r="K200" s="5"/>
      <c r="L200" s="5"/>
    </row>
    <row r="201" ht="15.75" customHeight="1">
      <c r="F201" s="16"/>
      <c r="G201" s="17"/>
      <c r="J201" s="5"/>
      <c r="K201" s="5"/>
      <c r="L201" s="5"/>
    </row>
    <row r="202" ht="15.75" customHeight="1">
      <c r="F202" s="16"/>
      <c r="G202" s="17"/>
      <c r="J202" s="5"/>
      <c r="K202" s="5"/>
      <c r="L202" s="5"/>
    </row>
    <row r="203" ht="15.75" customHeight="1">
      <c r="F203" s="16"/>
      <c r="G203" s="17"/>
      <c r="J203" s="5"/>
      <c r="K203" s="5"/>
      <c r="L203" s="5"/>
    </row>
    <row r="204" ht="15.75" customHeight="1">
      <c r="F204" s="16"/>
      <c r="G204" s="17"/>
      <c r="J204" s="5"/>
      <c r="K204" s="5"/>
      <c r="L204" s="5"/>
    </row>
    <row r="205" ht="15.75" customHeight="1">
      <c r="F205" s="16"/>
      <c r="G205" s="17"/>
      <c r="J205" s="5"/>
      <c r="K205" s="5"/>
      <c r="L205" s="5"/>
    </row>
    <row r="206" ht="15.75" customHeight="1">
      <c r="F206" s="16"/>
      <c r="G206" s="17"/>
      <c r="J206" s="5"/>
      <c r="K206" s="5"/>
      <c r="L206" s="5"/>
    </row>
    <row r="207" ht="15.75" customHeight="1">
      <c r="F207" s="16"/>
      <c r="G207" s="17"/>
      <c r="J207" s="5"/>
      <c r="K207" s="5"/>
      <c r="L207" s="5"/>
    </row>
    <row r="208" ht="15.75" customHeight="1">
      <c r="F208" s="16"/>
      <c r="G208" s="17"/>
      <c r="J208" s="5"/>
      <c r="K208" s="5"/>
      <c r="L208" s="5"/>
    </row>
    <row r="209" ht="15.75" customHeight="1">
      <c r="F209" s="16"/>
      <c r="G209" s="17"/>
      <c r="J209" s="5"/>
      <c r="K209" s="5"/>
      <c r="L209" s="5"/>
    </row>
    <row r="210" ht="15.75" customHeight="1">
      <c r="F210" s="16"/>
      <c r="G210" s="17"/>
      <c r="J210" s="5"/>
      <c r="K210" s="5"/>
      <c r="L210" s="5"/>
    </row>
    <row r="211" ht="15.75" customHeight="1">
      <c r="F211" s="16"/>
      <c r="G211" s="17"/>
      <c r="J211" s="5"/>
      <c r="K211" s="5"/>
      <c r="L211" s="5"/>
    </row>
    <row r="212" ht="15.75" customHeight="1">
      <c r="F212" s="16"/>
      <c r="G212" s="17"/>
      <c r="J212" s="5"/>
      <c r="K212" s="5"/>
      <c r="L212" s="5"/>
    </row>
    <row r="213" ht="15.75" customHeight="1">
      <c r="F213" s="16"/>
      <c r="G213" s="17"/>
      <c r="J213" s="5"/>
      <c r="K213" s="5"/>
      <c r="L213" s="5"/>
    </row>
    <row r="214" ht="15.75" customHeight="1">
      <c r="F214" s="16"/>
      <c r="G214" s="17"/>
      <c r="J214" s="5"/>
      <c r="K214" s="5"/>
      <c r="L214" s="5"/>
    </row>
    <row r="215" ht="15.75" customHeight="1">
      <c r="F215" s="16"/>
      <c r="G215" s="17"/>
      <c r="J215" s="5"/>
      <c r="K215" s="5"/>
      <c r="L215" s="5"/>
    </row>
    <row r="216" ht="15.75" customHeight="1">
      <c r="F216" s="16"/>
      <c r="G216" s="17"/>
      <c r="J216" s="5"/>
      <c r="K216" s="5"/>
      <c r="L216" s="5"/>
    </row>
    <row r="217" ht="15.75" customHeight="1">
      <c r="F217" s="16"/>
      <c r="G217" s="17"/>
      <c r="J217" s="5"/>
      <c r="K217" s="5"/>
      <c r="L217" s="5"/>
    </row>
    <row r="218" ht="15.75" customHeight="1">
      <c r="F218" s="16"/>
      <c r="G218" s="17"/>
      <c r="J218" s="5"/>
      <c r="K218" s="5"/>
      <c r="L218" s="5"/>
    </row>
    <row r="219" ht="15.75" customHeight="1">
      <c r="F219" s="16"/>
      <c r="G219" s="17"/>
      <c r="J219" s="5"/>
      <c r="K219" s="5"/>
      <c r="L219" s="5"/>
    </row>
    <row r="220" ht="15.75" customHeight="1">
      <c r="F220" s="16"/>
      <c r="G220" s="17"/>
      <c r="J220" s="5"/>
      <c r="K220" s="5"/>
      <c r="L220" s="5"/>
    </row>
    <row r="221" ht="15.75" customHeight="1">
      <c r="J221" s="5"/>
      <c r="K221" s="5"/>
      <c r="L221" s="5"/>
    </row>
    <row r="222" ht="15.75" customHeight="1">
      <c r="J222" s="5"/>
      <c r="K222" s="5"/>
      <c r="L222" s="5"/>
    </row>
    <row r="223" ht="15.75" customHeight="1">
      <c r="J223" s="5"/>
      <c r="K223" s="5"/>
      <c r="L223" s="5"/>
    </row>
    <row r="224" ht="15.75" customHeight="1">
      <c r="J224" s="5"/>
      <c r="K224" s="5"/>
      <c r="L224" s="5"/>
    </row>
    <row r="225" ht="15.75" customHeight="1">
      <c r="J225" s="5"/>
      <c r="K225" s="5"/>
      <c r="L225" s="5"/>
    </row>
    <row r="226" ht="15.75" customHeight="1">
      <c r="J226" s="5"/>
      <c r="K226" s="5"/>
      <c r="L226" s="5"/>
    </row>
    <row r="227" ht="15.75" customHeight="1">
      <c r="J227" s="5"/>
      <c r="K227" s="5"/>
      <c r="L227" s="5"/>
    </row>
    <row r="228" ht="15.75" customHeight="1">
      <c r="J228" s="5"/>
      <c r="K228" s="5"/>
      <c r="L228" s="5"/>
    </row>
    <row r="229" ht="15.75" customHeight="1">
      <c r="J229" s="5"/>
      <c r="K229" s="5"/>
      <c r="L229" s="5"/>
    </row>
    <row r="230" ht="15.75" customHeight="1">
      <c r="J230" s="5"/>
      <c r="K230" s="5"/>
      <c r="L230" s="5"/>
    </row>
    <row r="231" ht="15.75" customHeight="1">
      <c r="J231" s="5"/>
      <c r="K231" s="5"/>
      <c r="L231" s="5"/>
    </row>
    <row r="232" ht="15.75" customHeight="1">
      <c r="J232" s="5"/>
      <c r="K232" s="5"/>
      <c r="L232" s="5"/>
    </row>
    <row r="233" ht="15.75" customHeight="1">
      <c r="J233" s="5"/>
      <c r="K233" s="5"/>
      <c r="L233" s="5"/>
    </row>
    <row r="234" ht="15.75" customHeight="1">
      <c r="J234" s="5"/>
      <c r="K234" s="5"/>
      <c r="L234" s="5"/>
    </row>
    <row r="235" ht="15.75" customHeight="1">
      <c r="J235" s="5"/>
      <c r="K235" s="5"/>
      <c r="L235" s="5"/>
    </row>
    <row r="236" ht="15.75" customHeight="1">
      <c r="J236" s="5"/>
      <c r="K236" s="5"/>
      <c r="L236" s="5"/>
    </row>
    <row r="237" ht="15.75" customHeight="1">
      <c r="J237" s="5"/>
      <c r="K237" s="5"/>
      <c r="L237" s="5"/>
    </row>
    <row r="238" ht="15.75" customHeight="1">
      <c r="J238" s="5"/>
      <c r="K238" s="5"/>
      <c r="L238" s="5"/>
    </row>
    <row r="239" ht="15.75" customHeight="1">
      <c r="J239" s="5"/>
      <c r="K239" s="5"/>
      <c r="L239" s="5"/>
    </row>
    <row r="240" ht="15.75" customHeight="1">
      <c r="J240" s="5"/>
      <c r="K240" s="5"/>
      <c r="L240" s="5"/>
    </row>
    <row r="241" ht="15.75" customHeight="1">
      <c r="J241" s="5"/>
      <c r="K241" s="5"/>
      <c r="L241" s="5"/>
    </row>
    <row r="242" ht="15.75" customHeight="1">
      <c r="J242" s="5"/>
      <c r="K242" s="5"/>
      <c r="L242" s="5"/>
    </row>
    <row r="243" ht="15.75" customHeight="1">
      <c r="J243" s="5"/>
      <c r="K243" s="5"/>
      <c r="L243" s="5"/>
    </row>
    <row r="244" ht="15.75" customHeight="1">
      <c r="J244" s="5"/>
      <c r="K244" s="5"/>
      <c r="L244" s="5"/>
    </row>
    <row r="245" ht="15.75" customHeight="1">
      <c r="J245" s="5"/>
      <c r="K245" s="5"/>
      <c r="L245" s="5"/>
    </row>
    <row r="246" ht="15.75" customHeight="1">
      <c r="J246" s="5"/>
      <c r="K246" s="5"/>
      <c r="L246" s="5"/>
    </row>
    <row r="247" ht="15.75" customHeight="1">
      <c r="J247" s="5"/>
      <c r="K247" s="5"/>
      <c r="L247" s="5"/>
    </row>
    <row r="248" ht="15.75" customHeight="1">
      <c r="J248" s="5"/>
      <c r="K248" s="5"/>
      <c r="L248" s="5"/>
    </row>
    <row r="249" ht="15.75" customHeight="1">
      <c r="J249" s="5"/>
      <c r="K249" s="5"/>
      <c r="L249" s="5"/>
    </row>
    <row r="250" ht="15.75" customHeight="1">
      <c r="J250" s="5"/>
      <c r="K250" s="5"/>
      <c r="L250" s="5"/>
    </row>
    <row r="251" ht="15.75" customHeight="1">
      <c r="J251" s="5"/>
      <c r="K251" s="5"/>
      <c r="L251" s="5"/>
    </row>
    <row r="252" ht="15.75" customHeight="1">
      <c r="J252" s="5"/>
      <c r="K252" s="5"/>
      <c r="L252" s="5"/>
    </row>
    <row r="253" ht="15.75" customHeight="1">
      <c r="J253" s="5"/>
      <c r="K253" s="5"/>
      <c r="L253" s="5"/>
    </row>
    <row r="254" ht="15.75" customHeight="1">
      <c r="J254" s="5"/>
      <c r="K254" s="5"/>
      <c r="L254" s="5"/>
    </row>
    <row r="255" ht="15.75" customHeight="1">
      <c r="J255" s="5"/>
      <c r="K255" s="5"/>
      <c r="L255" s="5"/>
    </row>
    <row r="256" ht="15.75" customHeight="1">
      <c r="J256" s="5"/>
      <c r="K256" s="5"/>
      <c r="L256" s="5"/>
    </row>
    <row r="257" ht="15.75" customHeight="1">
      <c r="J257" s="5"/>
      <c r="K257" s="5"/>
      <c r="L257" s="5"/>
    </row>
    <row r="258" ht="15.75" customHeight="1">
      <c r="J258" s="5"/>
      <c r="K258" s="5"/>
      <c r="L258" s="5"/>
    </row>
    <row r="259" ht="15.75" customHeight="1">
      <c r="J259" s="5"/>
      <c r="K259" s="5"/>
      <c r="L259" s="5"/>
    </row>
    <row r="260" ht="15.75" customHeight="1">
      <c r="J260" s="5"/>
      <c r="K260" s="5"/>
      <c r="L260" s="5"/>
    </row>
    <row r="261" ht="15.75" customHeight="1">
      <c r="J261" s="5"/>
      <c r="K261" s="5"/>
      <c r="L261" s="5"/>
    </row>
    <row r="262" ht="15.75" customHeight="1">
      <c r="J262" s="5"/>
      <c r="K262" s="5"/>
      <c r="L262" s="5"/>
    </row>
    <row r="263" ht="15.75" customHeight="1">
      <c r="J263" s="5"/>
      <c r="K263" s="5"/>
      <c r="L263" s="5"/>
    </row>
    <row r="264" ht="15.75" customHeight="1">
      <c r="J264" s="5"/>
      <c r="K264" s="5"/>
      <c r="L264" s="5"/>
    </row>
    <row r="265" ht="15.75" customHeight="1">
      <c r="J265" s="5"/>
      <c r="K265" s="5"/>
      <c r="L265" s="5"/>
    </row>
    <row r="266" ht="15.75" customHeight="1">
      <c r="J266" s="5"/>
      <c r="K266" s="5"/>
      <c r="L266" s="5"/>
    </row>
    <row r="267" ht="15.75" customHeight="1">
      <c r="J267" s="5"/>
      <c r="K267" s="5"/>
      <c r="L267" s="5"/>
    </row>
    <row r="268" ht="15.75" customHeight="1">
      <c r="J268" s="5"/>
      <c r="K268" s="5"/>
      <c r="L268" s="5"/>
    </row>
    <row r="269" ht="15.75" customHeight="1">
      <c r="J269" s="5"/>
      <c r="K269" s="5"/>
      <c r="L269" s="5"/>
    </row>
    <row r="270" ht="15.75" customHeight="1">
      <c r="J270" s="5"/>
      <c r="K270" s="5"/>
      <c r="L270" s="5"/>
    </row>
    <row r="271" ht="15.75" customHeight="1">
      <c r="J271" s="5"/>
      <c r="K271" s="5"/>
      <c r="L271" s="5"/>
    </row>
    <row r="272" ht="15.75" customHeight="1">
      <c r="J272" s="5"/>
      <c r="K272" s="5"/>
      <c r="L272" s="5"/>
    </row>
    <row r="273" ht="15.75" customHeight="1">
      <c r="J273" s="5"/>
      <c r="K273" s="5"/>
      <c r="L273" s="5"/>
    </row>
    <row r="274" ht="15.75" customHeight="1">
      <c r="J274" s="5"/>
      <c r="K274" s="5"/>
      <c r="L274" s="5"/>
    </row>
    <row r="275" ht="15.75" customHeight="1">
      <c r="J275" s="5"/>
      <c r="K275" s="5"/>
      <c r="L275" s="5"/>
    </row>
    <row r="276" ht="15.75" customHeight="1">
      <c r="J276" s="5"/>
      <c r="K276" s="5"/>
      <c r="L276" s="5"/>
    </row>
    <row r="277" ht="15.75" customHeight="1">
      <c r="J277" s="5"/>
      <c r="K277" s="5"/>
      <c r="L277" s="5"/>
    </row>
    <row r="278" ht="15.75" customHeight="1">
      <c r="J278" s="5"/>
      <c r="K278" s="5"/>
      <c r="L278" s="5"/>
    </row>
    <row r="279" ht="15.75" customHeight="1">
      <c r="J279" s="5"/>
      <c r="K279" s="5"/>
      <c r="L279" s="5"/>
    </row>
    <row r="280" ht="15.75" customHeight="1">
      <c r="J280" s="5"/>
      <c r="K280" s="5"/>
      <c r="L280" s="5"/>
    </row>
    <row r="281" ht="15.75" customHeight="1">
      <c r="J281" s="5"/>
      <c r="K281" s="5"/>
      <c r="L281" s="5"/>
    </row>
    <row r="282" ht="15.75" customHeight="1">
      <c r="J282" s="5"/>
      <c r="K282" s="5"/>
      <c r="L282" s="5"/>
    </row>
    <row r="283" ht="15.75" customHeight="1">
      <c r="J283" s="5"/>
      <c r="K283" s="5"/>
      <c r="L283" s="5"/>
    </row>
    <row r="284" ht="15.75" customHeight="1">
      <c r="J284" s="5"/>
      <c r="K284" s="5"/>
      <c r="L284" s="5"/>
    </row>
    <row r="285" ht="15.75" customHeight="1">
      <c r="J285" s="5"/>
      <c r="K285" s="5"/>
      <c r="L285" s="5"/>
    </row>
    <row r="286" ht="15.75" customHeight="1">
      <c r="J286" s="5"/>
      <c r="K286" s="5"/>
      <c r="L286" s="5"/>
    </row>
    <row r="287" ht="15.75" customHeight="1">
      <c r="J287" s="5"/>
      <c r="K287" s="5"/>
      <c r="L287" s="5"/>
    </row>
    <row r="288" ht="15.75" customHeight="1">
      <c r="J288" s="5"/>
      <c r="K288" s="5"/>
      <c r="L288" s="5"/>
    </row>
    <row r="289" ht="15.75" customHeight="1">
      <c r="J289" s="5"/>
      <c r="K289" s="5"/>
      <c r="L289" s="5"/>
    </row>
    <row r="290" ht="15.75" customHeight="1">
      <c r="J290" s="5"/>
      <c r="K290" s="5"/>
      <c r="L290" s="5"/>
    </row>
    <row r="291" ht="15.75" customHeight="1">
      <c r="J291" s="5"/>
      <c r="K291" s="5"/>
      <c r="L291" s="5"/>
    </row>
    <row r="292" ht="15.75" customHeight="1">
      <c r="J292" s="5"/>
      <c r="K292" s="5"/>
      <c r="L292" s="5"/>
    </row>
    <row r="293" ht="15.75" customHeight="1">
      <c r="J293" s="5"/>
      <c r="K293" s="5"/>
      <c r="L293" s="5"/>
    </row>
    <row r="294" ht="15.75" customHeight="1">
      <c r="J294" s="5"/>
      <c r="K294" s="5"/>
      <c r="L294" s="5"/>
    </row>
    <row r="295" ht="15.75" customHeight="1">
      <c r="J295" s="5"/>
      <c r="K295" s="5"/>
      <c r="L295" s="5"/>
    </row>
    <row r="296" ht="15.75" customHeight="1">
      <c r="J296" s="5"/>
      <c r="K296" s="5"/>
      <c r="L296" s="5"/>
    </row>
    <row r="297" ht="15.75" customHeight="1">
      <c r="J297" s="5"/>
      <c r="K297" s="5"/>
      <c r="L297" s="5"/>
    </row>
    <row r="298" ht="15.75" customHeight="1">
      <c r="J298" s="5"/>
      <c r="K298" s="5"/>
      <c r="L298" s="5"/>
    </row>
    <row r="299" ht="15.75" customHeight="1">
      <c r="J299" s="5"/>
      <c r="K299" s="5"/>
      <c r="L299" s="5"/>
    </row>
    <row r="300" ht="15.75" customHeight="1">
      <c r="J300" s="5"/>
      <c r="K300" s="5"/>
      <c r="L300" s="5"/>
    </row>
    <row r="301" ht="15.75" customHeight="1">
      <c r="J301" s="5"/>
      <c r="K301" s="5"/>
      <c r="L301" s="5"/>
    </row>
    <row r="302" ht="15.75" customHeight="1">
      <c r="J302" s="5"/>
      <c r="K302" s="5"/>
      <c r="L302" s="5"/>
    </row>
    <row r="303" ht="15.75" customHeight="1">
      <c r="J303" s="5"/>
      <c r="K303" s="5"/>
      <c r="L303" s="5"/>
    </row>
    <row r="304" ht="15.75" customHeight="1">
      <c r="J304" s="5"/>
      <c r="K304" s="5"/>
      <c r="L304" s="5"/>
    </row>
    <row r="305" ht="15.75" customHeight="1">
      <c r="J305" s="5"/>
      <c r="K305" s="5"/>
      <c r="L305" s="5"/>
    </row>
    <row r="306" ht="15.75" customHeight="1">
      <c r="J306" s="5"/>
      <c r="K306" s="5"/>
      <c r="L306" s="5"/>
    </row>
    <row r="307" ht="15.75" customHeight="1">
      <c r="J307" s="5"/>
      <c r="K307" s="5"/>
      <c r="L307" s="5"/>
    </row>
    <row r="308" ht="15.75" customHeight="1">
      <c r="J308" s="5"/>
      <c r="K308" s="5"/>
      <c r="L308" s="5"/>
    </row>
    <row r="309" ht="15.75" customHeight="1">
      <c r="J309" s="5"/>
      <c r="K309" s="5"/>
      <c r="L309" s="5"/>
    </row>
    <row r="310" ht="15.75" customHeight="1">
      <c r="J310" s="5"/>
      <c r="K310" s="5"/>
      <c r="L310" s="5"/>
    </row>
    <row r="311" ht="15.75" customHeight="1">
      <c r="J311" s="5"/>
      <c r="K311" s="5"/>
      <c r="L311" s="5"/>
    </row>
    <row r="312" ht="15.75" customHeight="1">
      <c r="J312" s="5"/>
      <c r="K312" s="5"/>
      <c r="L312" s="5"/>
    </row>
    <row r="313" ht="15.75" customHeight="1">
      <c r="J313" s="5"/>
      <c r="K313" s="5"/>
      <c r="L313" s="5"/>
    </row>
    <row r="314" ht="15.75" customHeight="1">
      <c r="J314" s="5"/>
      <c r="K314" s="5"/>
      <c r="L314" s="5"/>
    </row>
    <row r="315" ht="15.75" customHeight="1">
      <c r="J315" s="5"/>
      <c r="K315" s="5"/>
      <c r="L315" s="5"/>
    </row>
    <row r="316" ht="15.75" customHeight="1">
      <c r="J316" s="5"/>
      <c r="K316" s="5"/>
      <c r="L316" s="5"/>
    </row>
    <row r="317" ht="15.75" customHeight="1">
      <c r="J317" s="5"/>
      <c r="K317" s="5"/>
      <c r="L317" s="5"/>
    </row>
    <row r="318" ht="15.75" customHeight="1">
      <c r="J318" s="5"/>
      <c r="K318" s="5"/>
      <c r="L318" s="5"/>
    </row>
    <row r="319" ht="15.75" customHeight="1">
      <c r="J319" s="5"/>
      <c r="K319" s="5"/>
      <c r="L319" s="5"/>
    </row>
    <row r="320" ht="15.75" customHeight="1">
      <c r="J320" s="5"/>
      <c r="K320" s="5"/>
      <c r="L320" s="5"/>
    </row>
    <row r="321" ht="15.75" customHeight="1">
      <c r="J321" s="5"/>
      <c r="K321" s="5"/>
      <c r="L321" s="5"/>
    </row>
    <row r="322" ht="15.75" customHeight="1">
      <c r="J322" s="5"/>
      <c r="K322" s="5"/>
      <c r="L322" s="5"/>
    </row>
    <row r="323" ht="15.75" customHeight="1">
      <c r="J323" s="5"/>
      <c r="K323" s="5"/>
      <c r="L323" s="5"/>
    </row>
    <row r="324" ht="15.75" customHeight="1">
      <c r="J324" s="5"/>
      <c r="K324" s="5"/>
      <c r="L324" s="5"/>
    </row>
    <row r="325" ht="15.75" customHeight="1">
      <c r="J325" s="5"/>
      <c r="K325" s="5"/>
      <c r="L325" s="5"/>
    </row>
    <row r="326" ht="15.75" customHeight="1">
      <c r="J326" s="5"/>
      <c r="K326" s="5"/>
      <c r="L326" s="5"/>
    </row>
    <row r="327" ht="15.75" customHeight="1">
      <c r="J327" s="5"/>
      <c r="K327" s="5"/>
      <c r="L327" s="5"/>
    </row>
    <row r="328" ht="15.75" customHeight="1">
      <c r="J328" s="5"/>
      <c r="K328" s="5"/>
      <c r="L328" s="5"/>
    </row>
    <row r="329" ht="15.75" customHeight="1">
      <c r="J329" s="5"/>
      <c r="K329" s="5"/>
      <c r="L329" s="5"/>
    </row>
    <row r="330" ht="15.75" customHeight="1">
      <c r="J330" s="5"/>
      <c r="K330" s="5"/>
      <c r="L330" s="5"/>
    </row>
    <row r="331" ht="15.75" customHeight="1">
      <c r="J331" s="5"/>
      <c r="K331" s="5"/>
      <c r="L331" s="5"/>
    </row>
    <row r="332" ht="15.75" customHeight="1">
      <c r="J332" s="5"/>
      <c r="K332" s="5"/>
      <c r="L332" s="5"/>
    </row>
    <row r="333" ht="15.75" customHeight="1">
      <c r="J333" s="5"/>
      <c r="K333" s="5"/>
      <c r="L333" s="5"/>
    </row>
    <row r="334" ht="15.75" customHeight="1">
      <c r="J334" s="5"/>
      <c r="K334" s="5"/>
      <c r="L334" s="5"/>
    </row>
    <row r="335" ht="15.75" customHeight="1">
      <c r="J335" s="5"/>
      <c r="K335" s="5"/>
      <c r="L335" s="5"/>
    </row>
    <row r="336" ht="15.75" customHeight="1">
      <c r="J336" s="5"/>
      <c r="K336" s="5"/>
      <c r="L336" s="5"/>
    </row>
    <row r="337" ht="15.75" customHeight="1">
      <c r="J337" s="5"/>
      <c r="K337" s="5"/>
      <c r="L337" s="5"/>
    </row>
    <row r="338" ht="15.75" customHeight="1">
      <c r="J338" s="5"/>
      <c r="K338" s="5"/>
      <c r="L338" s="5"/>
    </row>
    <row r="339" ht="15.75" customHeight="1">
      <c r="J339" s="5"/>
      <c r="K339" s="5"/>
      <c r="L339" s="5"/>
    </row>
    <row r="340" ht="15.75" customHeight="1">
      <c r="J340" s="5"/>
      <c r="K340" s="5"/>
      <c r="L340" s="5"/>
    </row>
    <row r="341" ht="15.75" customHeight="1">
      <c r="J341" s="5"/>
      <c r="K341" s="5"/>
      <c r="L341" s="5"/>
    </row>
    <row r="342" ht="15.75" customHeight="1">
      <c r="J342" s="5"/>
      <c r="K342" s="5"/>
      <c r="L342" s="5"/>
    </row>
    <row r="343" ht="15.75" customHeight="1">
      <c r="J343" s="5"/>
      <c r="K343" s="5"/>
      <c r="L343" s="5"/>
    </row>
    <row r="344" ht="15.75" customHeight="1">
      <c r="J344" s="5"/>
      <c r="K344" s="5"/>
      <c r="L344" s="5"/>
    </row>
    <row r="345" ht="15.75" customHeight="1">
      <c r="J345" s="5"/>
      <c r="K345" s="5"/>
      <c r="L345" s="5"/>
    </row>
    <row r="346" ht="15.75" customHeight="1">
      <c r="J346" s="5"/>
      <c r="K346" s="5"/>
      <c r="L346" s="5"/>
    </row>
    <row r="347" ht="15.75" customHeight="1">
      <c r="J347" s="5"/>
      <c r="K347" s="5"/>
      <c r="L347" s="5"/>
    </row>
    <row r="348" ht="15.75" customHeight="1">
      <c r="J348" s="5"/>
      <c r="K348" s="5"/>
      <c r="L348" s="5"/>
    </row>
    <row r="349" ht="15.75" customHeight="1">
      <c r="J349" s="5"/>
      <c r="K349" s="5"/>
      <c r="L349" s="5"/>
    </row>
    <row r="350" ht="15.75" customHeight="1">
      <c r="J350" s="5"/>
      <c r="K350" s="5"/>
      <c r="L350" s="5"/>
    </row>
    <row r="351" ht="15.75" customHeight="1">
      <c r="J351" s="5"/>
      <c r="K351" s="5"/>
      <c r="L351" s="5"/>
    </row>
    <row r="352" ht="15.75" customHeight="1">
      <c r="J352" s="5"/>
      <c r="K352" s="5"/>
      <c r="L352" s="5"/>
    </row>
    <row r="353" ht="15.75" customHeight="1">
      <c r="J353" s="5"/>
      <c r="K353" s="5"/>
      <c r="L353" s="5"/>
    </row>
    <row r="354" ht="15.75" customHeight="1">
      <c r="J354" s="5"/>
      <c r="K354" s="5"/>
      <c r="L354" s="5"/>
    </row>
    <row r="355" ht="15.75" customHeight="1">
      <c r="J355" s="5"/>
      <c r="K355" s="5"/>
      <c r="L355" s="5"/>
    </row>
    <row r="356" ht="15.75" customHeight="1">
      <c r="J356" s="5"/>
      <c r="K356" s="5"/>
      <c r="L356" s="5"/>
    </row>
    <row r="357" ht="15.75" customHeight="1">
      <c r="J357" s="5"/>
      <c r="K357" s="5"/>
      <c r="L357" s="5"/>
    </row>
    <row r="358" ht="15.75" customHeight="1">
      <c r="J358" s="5"/>
      <c r="K358" s="5"/>
      <c r="L358" s="5"/>
    </row>
    <row r="359" ht="15.75" customHeight="1">
      <c r="J359" s="5"/>
      <c r="K359" s="5"/>
      <c r="L359" s="5"/>
    </row>
    <row r="360" ht="15.75" customHeight="1">
      <c r="J360" s="5"/>
      <c r="K360" s="5"/>
      <c r="L360" s="5"/>
    </row>
    <row r="361" ht="15.75" customHeight="1">
      <c r="J361" s="5"/>
      <c r="K361" s="5"/>
      <c r="L361" s="5"/>
    </row>
    <row r="362" ht="15.75" customHeight="1">
      <c r="J362" s="5"/>
      <c r="K362" s="5"/>
      <c r="L362" s="5"/>
    </row>
    <row r="363" ht="15.75" customHeight="1">
      <c r="J363" s="5"/>
      <c r="K363" s="5"/>
      <c r="L363" s="5"/>
    </row>
    <row r="364" ht="15.75" customHeight="1">
      <c r="J364" s="5"/>
      <c r="K364" s="5"/>
      <c r="L364" s="5"/>
    </row>
    <row r="365" ht="15.75" customHeight="1">
      <c r="J365" s="5"/>
      <c r="K365" s="5"/>
      <c r="L365" s="5"/>
    </row>
    <row r="366" ht="15.75" customHeight="1">
      <c r="J366" s="5"/>
      <c r="K366" s="5"/>
      <c r="L366" s="5"/>
    </row>
    <row r="367" ht="15.75" customHeight="1">
      <c r="J367" s="5"/>
      <c r="K367" s="5"/>
      <c r="L367" s="5"/>
    </row>
    <row r="368" ht="15.75" customHeight="1">
      <c r="J368" s="5"/>
      <c r="K368" s="5"/>
      <c r="L368" s="5"/>
    </row>
    <row r="369" ht="15.75" customHeight="1">
      <c r="J369" s="5"/>
      <c r="K369" s="5"/>
      <c r="L369" s="5"/>
    </row>
    <row r="370" ht="15.75" customHeight="1">
      <c r="J370" s="5"/>
      <c r="K370" s="5"/>
      <c r="L370" s="5"/>
    </row>
    <row r="371" ht="15.75" customHeight="1">
      <c r="J371" s="5"/>
      <c r="K371" s="5"/>
      <c r="L371" s="5"/>
    </row>
    <row r="372" ht="15.75" customHeight="1">
      <c r="J372" s="5"/>
      <c r="K372" s="5"/>
      <c r="L372" s="5"/>
    </row>
    <row r="373" ht="15.75" customHeight="1">
      <c r="J373" s="5"/>
      <c r="K373" s="5"/>
      <c r="L373" s="5"/>
    </row>
    <row r="374" ht="15.75" customHeight="1">
      <c r="J374" s="5"/>
      <c r="K374" s="5"/>
      <c r="L374" s="5"/>
    </row>
    <row r="375" ht="15.75" customHeight="1">
      <c r="J375" s="5"/>
      <c r="K375" s="5"/>
      <c r="L375" s="5"/>
    </row>
    <row r="376" ht="15.75" customHeight="1">
      <c r="J376" s="5"/>
      <c r="K376" s="5"/>
      <c r="L376" s="5"/>
    </row>
    <row r="377" ht="15.75" customHeight="1">
      <c r="J377" s="5"/>
      <c r="K377" s="5"/>
      <c r="L377" s="5"/>
    </row>
    <row r="378" ht="15.75" customHeight="1">
      <c r="J378" s="5"/>
      <c r="K378" s="5"/>
      <c r="L378" s="5"/>
    </row>
    <row r="379" ht="15.75" customHeight="1">
      <c r="J379" s="5"/>
      <c r="K379" s="5"/>
      <c r="L379" s="5"/>
    </row>
    <row r="380" ht="15.75" customHeight="1">
      <c r="J380" s="5"/>
      <c r="K380" s="5"/>
      <c r="L380" s="5"/>
    </row>
    <row r="381" ht="15.75" customHeight="1">
      <c r="J381" s="5"/>
      <c r="K381" s="5"/>
      <c r="L381" s="5"/>
    </row>
    <row r="382" ht="15.75" customHeight="1">
      <c r="J382" s="5"/>
      <c r="K382" s="5"/>
      <c r="L382" s="5"/>
    </row>
    <row r="383" ht="15.75" customHeight="1">
      <c r="J383" s="5"/>
      <c r="K383" s="5"/>
      <c r="L383" s="5"/>
    </row>
    <row r="384" ht="15.75" customHeight="1">
      <c r="J384" s="5"/>
      <c r="K384" s="5"/>
      <c r="L384" s="5"/>
    </row>
    <row r="385" ht="15.75" customHeight="1">
      <c r="J385" s="5"/>
      <c r="K385" s="5"/>
      <c r="L385" s="5"/>
    </row>
    <row r="386" ht="15.75" customHeight="1">
      <c r="J386" s="5"/>
      <c r="K386" s="5"/>
      <c r="L386" s="5"/>
    </row>
    <row r="387" ht="15.75" customHeight="1">
      <c r="J387" s="5"/>
      <c r="K387" s="5"/>
      <c r="L387" s="5"/>
    </row>
    <row r="388" ht="15.75" customHeight="1">
      <c r="J388" s="5"/>
      <c r="K388" s="5"/>
      <c r="L388" s="5"/>
    </row>
    <row r="389" ht="15.75" customHeight="1">
      <c r="J389" s="5"/>
      <c r="K389" s="5"/>
      <c r="L389" s="5"/>
    </row>
    <row r="390" ht="15.75" customHeight="1">
      <c r="J390" s="5"/>
      <c r="K390" s="5"/>
      <c r="L390" s="5"/>
    </row>
    <row r="391" ht="15.75" customHeight="1">
      <c r="J391" s="5"/>
      <c r="K391" s="5"/>
      <c r="L391" s="5"/>
    </row>
    <row r="392" ht="15.75" customHeight="1">
      <c r="J392" s="5"/>
      <c r="K392" s="5"/>
      <c r="L392" s="5"/>
    </row>
    <row r="393" ht="15.75" customHeight="1">
      <c r="J393" s="5"/>
      <c r="K393" s="5"/>
      <c r="L393" s="5"/>
    </row>
    <row r="394" ht="15.75" customHeight="1">
      <c r="J394" s="5"/>
      <c r="K394" s="5"/>
      <c r="L394" s="5"/>
    </row>
    <row r="395" ht="15.75" customHeight="1">
      <c r="J395" s="5"/>
      <c r="K395" s="5"/>
      <c r="L395" s="5"/>
    </row>
    <row r="396" ht="15.75" customHeight="1">
      <c r="J396" s="5"/>
      <c r="K396" s="5"/>
      <c r="L396" s="5"/>
    </row>
    <row r="397" ht="15.75" customHeight="1">
      <c r="J397" s="5"/>
      <c r="K397" s="5"/>
      <c r="L397" s="5"/>
    </row>
    <row r="398" ht="15.75" customHeight="1">
      <c r="J398" s="5"/>
      <c r="K398" s="5"/>
      <c r="L398" s="5"/>
    </row>
    <row r="399" ht="15.75" customHeight="1">
      <c r="J399" s="5"/>
      <c r="K399" s="5"/>
      <c r="L399" s="5"/>
    </row>
    <row r="400" ht="15.75" customHeight="1">
      <c r="J400" s="5"/>
      <c r="K400" s="5"/>
      <c r="L400" s="5"/>
    </row>
    <row r="401" ht="15.75" customHeight="1">
      <c r="J401" s="5"/>
      <c r="K401" s="5"/>
      <c r="L401" s="5"/>
    </row>
    <row r="402" ht="15.75" customHeight="1">
      <c r="J402" s="5"/>
      <c r="K402" s="5"/>
      <c r="L402" s="5"/>
    </row>
    <row r="403" ht="15.75" customHeight="1">
      <c r="J403" s="5"/>
      <c r="K403" s="5"/>
      <c r="L403" s="5"/>
    </row>
    <row r="404" ht="15.75" customHeight="1">
      <c r="J404" s="5"/>
      <c r="K404" s="5"/>
      <c r="L404" s="5"/>
    </row>
    <row r="405" ht="15.75" customHeight="1">
      <c r="J405" s="5"/>
      <c r="K405" s="5"/>
      <c r="L405" s="5"/>
    </row>
    <row r="406" ht="15.75" customHeight="1">
      <c r="J406" s="5"/>
      <c r="K406" s="5"/>
      <c r="L406" s="5"/>
    </row>
    <row r="407" ht="15.75" customHeight="1">
      <c r="J407" s="5"/>
      <c r="K407" s="5"/>
      <c r="L407" s="5"/>
    </row>
    <row r="408" ht="15.75" customHeight="1">
      <c r="J408" s="5"/>
      <c r="K408" s="5"/>
      <c r="L408" s="5"/>
    </row>
    <row r="409" ht="15.75" customHeight="1">
      <c r="J409" s="5"/>
      <c r="K409" s="5"/>
      <c r="L409" s="5"/>
    </row>
    <row r="410" ht="15.75" customHeight="1">
      <c r="J410" s="5"/>
      <c r="K410" s="5"/>
      <c r="L410" s="5"/>
    </row>
    <row r="411" ht="15.75" customHeight="1">
      <c r="J411" s="5"/>
      <c r="K411" s="5"/>
      <c r="L411" s="5"/>
    </row>
    <row r="412" ht="15.75" customHeight="1">
      <c r="J412" s="5"/>
      <c r="K412" s="5"/>
      <c r="L412" s="5"/>
    </row>
    <row r="413" ht="15.75" customHeight="1">
      <c r="J413" s="5"/>
      <c r="K413" s="5"/>
      <c r="L413" s="5"/>
    </row>
    <row r="414" ht="15.75" customHeight="1">
      <c r="J414" s="5"/>
      <c r="K414" s="5"/>
      <c r="L414" s="5"/>
    </row>
    <row r="415" ht="15.75" customHeight="1">
      <c r="J415" s="5"/>
      <c r="K415" s="5"/>
      <c r="L415" s="5"/>
    </row>
    <row r="416" ht="15.75" customHeight="1">
      <c r="J416" s="5"/>
      <c r="K416" s="5"/>
      <c r="L416" s="5"/>
    </row>
    <row r="417" ht="15.75" customHeight="1">
      <c r="J417" s="5"/>
      <c r="K417" s="5"/>
      <c r="L417" s="5"/>
    </row>
    <row r="418" ht="15.75" customHeight="1">
      <c r="J418" s="5"/>
      <c r="K418" s="5"/>
      <c r="L418" s="5"/>
    </row>
    <row r="419" ht="15.75" customHeight="1">
      <c r="J419" s="5"/>
      <c r="K419" s="5"/>
      <c r="L419" s="5"/>
    </row>
    <row r="420" ht="15.75" customHeight="1">
      <c r="J420" s="5"/>
      <c r="K420" s="5"/>
      <c r="L420" s="5"/>
    </row>
    <row r="421" ht="15.75" customHeight="1">
      <c r="J421" s="5"/>
      <c r="K421" s="5"/>
      <c r="L421" s="5"/>
    </row>
    <row r="422" ht="15.75" customHeight="1">
      <c r="J422" s="5"/>
      <c r="K422" s="5"/>
      <c r="L422" s="5"/>
    </row>
    <row r="423" ht="15.75" customHeight="1">
      <c r="J423" s="5"/>
      <c r="K423" s="5"/>
      <c r="L423" s="5"/>
    </row>
    <row r="424" ht="15.75" customHeight="1">
      <c r="J424" s="5"/>
      <c r="K424" s="5"/>
      <c r="L424" s="5"/>
    </row>
    <row r="425" ht="15.75" customHeight="1">
      <c r="J425" s="5"/>
      <c r="K425" s="5"/>
      <c r="L425" s="5"/>
    </row>
    <row r="426" ht="15.75" customHeight="1">
      <c r="J426" s="5"/>
      <c r="K426" s="5"/>
      <c r="L426" s="5"/>
    </row>
    <row r="427" ht="15.75" customHeight="1">
      <c r="J427" s="5"/>
      <c r="K427" s="5"/>
      <c r="L427" s="5"/>
    </row>
    <row r="428" ht="15.75" customHeight="1">
      <c r="J428" s="5"/>
      <c r="K428" s="5"/>
      <c r="L428" s="5"/>
    </row>
    <row r="429" ht="15.75" customHeight="1">
      <c r="J429" s="5"/>
      <c r="K429" s="5"/>
      <c r="L429" s="5"/>
    </row>
    <row r="430" ht="15.75" customHeight="1">
      <c r="J430" s="5"/>
      <c r="K430" s="5"/>
      <c r="L430" s="5"/>
    </row>
    <row r="431" ht="15.75" customHeight="1">
      <c r="J431" s="5"/>
      <c r="K431" s="5"/>
      <c r="L431" s="5"/>
    </row>
    <row r="432" ht="15.75" customHeight="1">
      <c r="J432" s="5"/>
      <c r="K432" s="5"/>
      <c r="L432" s="5"/>
    </row>
    <row r="433" ht="15.75" customHeight="1">
      <c r="J433" s="5"/>
      <c r="K433" s="5"/>
      <c r="L433" s="5"/>
    </row>
    <row r="434" ht="15.75" customHeight="1">
      <c r="J434" s="5"/>
      <c r="K434" s="5"/>
      <c r="L434" s="5"/>
    </row>
    <row r="435" ht="15.75" customHeight="1">
      <c r="J435" s="5"/>
      <c r="K435" s="5"/>
      <c r="L435" s="5"/>
    </row>
    <row r="436" ht="15.75" customHeight="1">
      <c r="J436" s="5"/>
      <c r="K436" s="5"/>
      <c r="L436" s="5"/>
    </row>
    <row r="437" ht="15.75" customHeight="1">
      <c r="J437" s="5"/>
      <c r="K437" s="5"/>
      <c r="L437" s="5"/>
    </row>
    <row r="438" ht="15.75" customHeight="1">
      <c r="J438" s="5"/>
      <c r="K438" s="5"/>
      <c r="L438" s="5"/>
    </row>
    <row r="439" ht="15.75" customHeight="1">
      <c r="J439" s="5"/>
      <c r="K439" s="5"/>
      <c r="L439" s="5"/>
    </row>
    <row r="440" ht="15.75" customHeight="1">
      <c r="J440" s="5"/>
      <c r="K440" s="5"/>
      <c r="L440" s="5"/>
    </row>
    <row r="441" ht="15.75" customHeight="1">
      <c r="J441" s="5"/>
      <c r="K441" s="5"/>
      <c r="L441" s="5"/>
    </row>
    <row r="442" ht="15.75" customHeight="1">
      <c r="J442" s="5"/>
      <c r="K442" s="5"/>
      <c r="L442" s="5"/>
    </row>
    <row r="443" ht="15.75" customHeight="1">
      <c r="J443" s="5"/>
      <c r="K443" s="5"/>
      <c r="L443" s="5"/>
    </row>
    <row r="444" ht="15.75" customHeight="1">
      <c r="J444" s="5"/>
      <c r="K444" s="5"/>
      <c r="L444" s="5"/>
    </row>
    <row r="445" ht="15.75" customHeight="1">
      <c r="J445" s="5"/>
      <c r="K445" s="5"/>
      <c r="L445" s="5"/>
    </row>
    <row r="446" ht="15.75" customHeight="1">
      <c r="J446" s="5"/>
      <c r="K446" s="5"/>
      <c r="L446" s="5"/>
    </row>
    <row r="447" ht="15.75" customHeight="1">
      <c r="J447" s="5"/>
      <c r="K447" s="5"/>
      <c r="L447" s="5"/>
    </row>
    <row r="448" ht="15.75" customHeight="1">
      <c r="J448" s="5"/>
      <c r="K448" s="5"/>
      <c r="L448" s="5"/>
    </row>
    <row r="449" ht="15.75" customHeight="1">
      <c r="J449" s="5"/>
      <c r="K449" s="5"/>
      <c r="L449" s="5"/>
    </row>
    <row r="450" ht="15.75" customHeight="1">
      <c r="J450" s="5"/>
      <c r="K450" s="5"/>
      <c r="L450" s="5"/>
    </row>
    <row r="451" ht="15.75" customHeight="1">
      <c r="J451" s="5"/>
      <c r="K451" s="5"/>
      <c r="L451" s="5"/>
    </row>
    <row r="452" ht="15.75" customHeight="1">
      <c r="J452" s="5"/>
      <c r="K452" s="5"/>
      <c r="L452" s="5"/>
    </row>
    <row r="453" ht="15.75" customHeight="1">
      <c r="J453" s="5"/>
      <c r="K453" s="5"/>
      <c r="L453" s="5"/>
    </row>
    <row r="454" ht="15.75" customHeight="1">
      <c r="J454" s="5"/>
      <c r="K454" s="5"/>
      <c r="L454" s="5"/>
    </row>
    <row r="455" ht="15.75" customHeight="1">
      <c r="J455" s="5"/>
      <c r="K455" s="5"/>
      <c r="L455" s="5"/>
    </row>
    <row r="456" ht="15.75" customHeight="1">
      <c r="J456" s="5"/>
      <c r="K456" s="5"/>
      <c r="L456" s="5"/>
    </row>
    <row r="457" ht="15.75" customHeight="1">
      <c r="J457" s="5"/>
      <c r="K457" s="5"/>
      <c r="L457" s="5"/>
    </row>
    <row r="458" ht="15.75" customHeight="1">
      <c r="J458" s="5"/>
      <c r="K458" s="5"/>
      <c r="L458" s="5"/>
    </row>
    <row r="459" ht="15.75" customHeight="1">
      <c r="J459" s="5"/>
      <c r="K459" s="5"/>
      <c r="L459" s="5"/>
    </row>
    <row r="460" ht="15.75" customHeight="1">
      <c r="J460" s="5"/>
      <c r="K460" s="5"/>
      <c r="L460" s="5"/>
    </row>
    <row r="461" ht="15.75" customHeight="1">
      <c r="J461" s="5"/>
      <c r="K461" s="5"/>
      <c r="L461" s="5"/>
    </row>
    <row r="462" ht="15.75" customHeight="1">
      <c r="J462" s="5"/>
      <c r="K462" s="5"/>
      <c r="L462" s="5"/>
    </row>
    <row r="463" ht="15.75" customHeight="1">
      <c r="J463" s="5"/>
      <c r="K463" s="5"/>
      <c r="L463" s="5"/>
    </row>
    <row r="464" ht="15.75" customHeight="1">
      <c r="J464" s="5"/>
      <c r="K464" s="5"/>
      <c r="L464" s="5"/>
    </row>
    <row r="465" ht="15.75" customHeight="1">
      <c r="J465" s="5"/>
      <c r="K465" s="5"/>
      <c r="L465" s="5"/>
    </row>
    <row r="466" ht="15.75" customHeight="1">
      <c r="J466" s="5"/>
      <c r="K466" s="5"/>
      <c r="L466" s="5"/>
    </row>
    <row r="467" ht="15.75" customHeight="1">
      <c r="J467" s="5"/>
      <c r="K467" s="5"/>
      <c r="L467" s="5"/>
    </row>
    <row r="468" ht="15.75" customHeight="1">
      <c r="J468" s="5"/>
      <c r="K468" s="5"/>
      <c r="L468" s="5"/>
    </row>
    <row r="469" ht="15.75" customHeight="1">
      <c r="J469" s="5"/>
      <c r="K469" s="5"/>
      <c r="L469" s="5"/>
    </row>
    <row r="470" ht="15.75" customHeight="1">
      <c r="J470" s="5"/>
      <c r="K470" s="5"/>
      <c r="L470" s="5"/>
    </row>
    <row r="471" ht="15.75" customHeight="1">
      <c r="J471" s="5"/>
      <c r="K471" s="5"/>
      <c r="L471" s="5"/>
    </row>
    <row r="472" ht="15.75" customHeight="1">
      <c r="J472" s="5"/>
      <c r="K472" s="5"/>
      <c r="L472" s="5"/>
    </row>
    <row r="473" ht="15.75" customHeight="1">
      <c r="J473" s="5"/>
      <c r="K473" s="5"/>
      <c r="L473" s="5"/>
    </row>
    <row r="474" ht="15.75" customHeight="1">
      <c r="J474" s="5"/>
      <c r="K474" s="5"/>
      <c r="L474" s="5"/>
    </row>
    <row r="475" ht="15.75" customHeight="1">
      <c r="J475" s="5"/>
      <c r="K475" s="5"/>
      <c r="L475" s="5"/>
    </row>
    <row r="476" ht="15.75" customHeight="1">
      <c r="J476" s="5"/>
      <c r="K476" s="5"/>
      <c r="L476" s="5"/>
    </row>
    <row r="477" ht="15.75" customHeight="1">
      <c r="J477" s="5"/>
      <c r="K477" s="5"/>
      <c r="L477" s="5"/>
    </row>
    <row r="478" ht="15.75" customHeight="1">
      <c r="J478" s="5"/>
      <c r="K478" s="5"/>
      <c r="L478" s="5"/>
    </row>
    <row r="479" ht="15.75" customHeight="1">
      <c r="J479" s="5"/>
      <c r="K479" s="5"/>
      <c r="L479" s="5"/>
    </row>
    <row r="480" ht="15.75" customHeight="1">
      <c r="J480" s="5"/>
      <c r="K480" s="5"/>
      <c r="L480" s="5"/>
    </row>
    <row r="481" ht="15.75" customHeight="1">
      <c r="J481" s="5"/>
      <c r="K481" s="5"/>
      <c r="L481" s="5"/>
    </row>
    <row r="482" ht="15.75" customHeight="1">
      <c r="J482" s="5"/>
      <c r="K482" s="5"/>
      <c r="L482" s="5"/>
    </row>
    <row r="483" ht="15.75" customHeight="1">
      <c r="J483" s="5"/>
      <c r="K483" s="5"/>
      <c r="L483" s="5"/>
    </row>
    <row r="484" ht="15.75" customHeight="1">
      <c r="J484" s="5"/>
      <c r="K484" s="5"/>
      <c r="L484" s="5"/>
    </row>
    <row r="485" ht="15.75" customHeight="1">
      <c r="J485" s="5"/>
      <c r="K485" s="5"/>
      <c r="L485" s="5"/>
    </row>
    <row r="486" ht="15.75" customHeight="1">
      <c r="J486" s="5"/>
      <c r="K486" s="5"/>
      <c r="L486" s="5"/>
    </row>
    <row r="487" ht="15.75" customHeight="1">
      <c r="J487" s="5"/>
      <c r="K487" s="5"/>
      <c r="L487" s="5"/>
    </row>
    <row r="488" ht="15.75" customHeight="1">
      <c r="J488" s="5"/>
      <c r="K488" s="5"/>
      <c r="L488" s="5"/>
    </row>
    <row r="489" ht="15.75" customHeight="1">
      <c r="J489" s="5"/>
      <c r="K489" s="5"/>
      <c r="L489" s="5"/>
    </row>
    <row r="490" ht="15.75" customHeight="1">
      <c r="J490" s="5"/>
      <c r="K490" s="5"/>
      <c r="L490" s="5"/>
    </row>
    <row r="491" ht="15.75" customHeight="1">
      <c r="J491" s="5"/>
      <c r="K491" s="5"/>
      <c r="L491" s="5"/>
    </row>
    <row r="492" ht="15.75" customHeight="1">
      <c r="J492" s="5"/>
      <c r="K492" s="5"/>
      <c r="L492" s="5"/>
    </row>
    <row r="493" ht="15.75" customHeight="1">
      <c r="J493" s="5"/>
      <c r="K493" s="5"/>
      <c r="L493" s="5"/>
    </row>
    <row r="494" ht="15.75" customHeight="1">
      <c r="J494" s="5"/>
      <c r="K494" s="5"/>
      <c r="L494" s="5"/>
    </row>
    <row r="495" ht="15.75" customHeight="1">
      <c r="J495" s="5"/>
      <c r="K495" s="5"/>
      <c r="L495" s="5"/>
    </row>
    <row r="496" ht="15.75" customHeight="1">
      <c r="J496" s="5"/>
      <c r="K496" s="5"/>
      <c r="L496" s="5"/>
    </row>
    <row r="497" ht="15.75" customHeight="1">
      <c r="J497" s="5"/>
      <c r="K497" s="5"/>
      <c r="L497" s="5"/>
    </row>
    <row r="498" ht="15.75" customHeight="1">
      <c r="J498" s="5"/>
      <c r="K498" s="5"/>
      <c r="L498" s="5"/>
    </row>
    <row r="499" ht="15.75" customHeight="1">
      <c r="J499" s="5"/>
      <c r="K499" s="5"/>
      <c r="L499" s="5"/>
    </row>
    <row r="500" ht="15.75" customHeight="1">
      <c r="J500" s="5"/>
      <c r="K500" s="5"/>
      <c r="L500" s="5"/>
    </row>
    <row r="501" ht="15.75" customHeight="1">
      <c r="J501" s="5"/>
      <c r="K501" s="5"/>
      <c r="L501" s="5"/>
    </row>
    <row r="502" ht="15.75" customHeight="1">
      <c r="J502" s="5"/>
      <c r="K502" s="5"/>
      <c r="L502" s="5"/>
    </row>
    <row r="503" ht="15.75" customHeight="1">
      <c r="J503" s="5"/>
      <c r="K503" s="5"/>
      <c r="L503" s="5"/>
    </row>
    <row r="504" ht="15.75" customHeight="1">
      <c r="J504" s="5"/>
      <c r="K504" s="5"/>
      <c r="L504" s="5"/>
    </row>
    <row r="505" ht="15.75" customHeight="1">
      <c r="J505" s="5"/>
      <c r="K505" s="5"/>
      <c r="L505" s="5"/>
    </row>
    <row r="506" ht="15.75" customHeight="1">
      <c r="J506" s="5"/>
      <c r="K506" s="5"/>
      <c r="L506" s="5"/>
    </row>
    <row r="507" ht="15.75" customHeight="1">
      <c r="J507" s="5"/>
      <c r="K507" s="5"/>
      <c r="L507" s="5"/>
    </row>
    <row r="508" ht="15.75" customHeight="1">
      <c r="J508" s="5"/>
      <c r="K508" s="5"/>
      <c r="L508" s="5"/>
    </row>
    <row r="509" ht="15.75" customHeight="1">
      <c r="J509" s="5"/>
      <c r="K509" s="5"/>
      <c r="L509" s="5"/>
    </row>
    <row r="510" ht="15.75" customHeight="1">
      <c r="J510" s="5"/>
      <c r="K510" s="5"/>
      <c r="L510" s="5"/>
    </row>
    <row r="511" ht="15.75" customHeight="1">
      <c r="J511" s="5"/>
      <c r="K511" s="5"/>
      <c r="L511" s="5"/>
    </row>
    <row r="512" ht="15.75" customHeight="1">
      <c r="J512" s="5"/>
      <c r="K512" s="5"/>
      <c r="L512" s="5"/>
    </row>
    <row r="513" ht="15.75" customHeight="1">
      <c r="J513" s="5"/>
      <c r="K513" s="5"/>
      <c r="L513" s="5"/>
    </row>
    <row r="514" ht="15.75" customHeight="1">
      <c r="J514" s="5"/>
      <c r="K514" s="5"/>
      <c r="L514" s="5"/>
    </row>
    <row r="515" ht="15.75" customHeight="1">
      <c r="J515" s="5"/>
      <c r="K515" s="5"/>
      <c r="L515" s="5"/>
    </row>
    <row r="516" ht="15.75" customHeight="1">
      <c r="J516" s="5"/>
      <c r="K516" s="5"/>
      <c r="L516" s="5"/>
    </row>
    <row r="517" ht="15.75" customHeight="1">
      <c r="J517" s="5"/>
      <c r="K517" s="5"/>
      <c r="L517" s="5"/>
    </row>
    <row r="518" ht="15.75" customHeight="1">
      <c r="J518" s="5"/>
      <c r="K518" s="5"/>
      <c r="L518" s="5"/>
    </row>
    <row r="519" ht="15.75" customHeight="1">
      <c r="J519" s="5"/>
      <c r="K519" s="5"/>
      <c r="L519" s="5"/>
    </row>
    <row r="520" ht="15.75" customHeight="1">
      <c r="J520" s="5"/>
      <c r="K520" s="5"/>
      <c r="L520" s="5"/>
    </row>
    <row r="521" ht="15.75" customHeight="1">
      <c r="J521" s="5"/>
      <c r="K521" s="5"/>
      <c r="L521" s="5"/>
    </row>
    <row r="522" ht="15.75" customHeight="1">
      <c r="J522" s="5"/>
      <c r="K522" s="5"/>
      <c r="L522" s="5"/>
    </row>
    <row r="523" ht="15.75" customHeight="1">
      <c r="J523" s="5"/>
      <c r="K523" s="5"/>
      <c r="L523" s="5"/>
    </row>
    <row r="524" ht="15.75" customHeight="1">
      <c r="J524" s="5"/>
      <c r="K524" s="5"/>
      <c r="L524" s="5"/>
    </row>
    <row r="525" ht="15.75" customHeight="1">
      <c r="J525" s="5"/>
      <c r="K525" s="5"/>
      <c r="L525" s="5"/>
    </row>
    <row r="526" ht="15.75" customHeight="1">
      <c r="J526" s="5"/>
      <c r="K526" s="5"/>
      <c r="L526" s="5"/>
    </row>
    <row r="527" ht="15.75" customHeight="1">
      <c r="J527" s="5"/>
      <c r="K527" s="5"/>
      <c r="L527" s="5"/>
    </row>
    <row r="528" ht="15.75" customHeight="1">
      <c r="J528" s="5"/>
      <c r="K528" s="5"/>
      <c r="L528" s="5"/>
    </row>
    <row r="529" ht="15.75" customHeight="1">
      <c r="J529" s="5"/>
      <c r="K529" s="5"/>
      <c r="L529" s="5"/>
    </row>
    <row r="530" ht="15.75" customHeight="1">
      <c r="J530" s="5"/>
      <c r="K530" s="5"/>
      <c r="L530" s="5"/>
    </row>
    <row r="531" ht="15.75" customHeight="1">
      <c r="J531" s="5"/>
      <c r="K531" s="5"/>
      <c r="L531" s="5"/>
    </row>
    <row r="532" ht="15.75" customHeight="1">
      <c r="J532" s="5"/>
      <c r="K532" s="5"/>
      <c r="L532" s="5"/>
    </row>
    <row r="533" ht="15.75" customHeight="1">
      <c r="J533" s="5"/>
      <c r="K533" s="5"/>
      <c r="L533" s="5"/>
    </row>
    <row r="534" ht="15.75" customHeight="1">
      <c r="J534" s="5"/>
      <c r="K534" s="5"/>
      <c r="L534" s="5"/>
    </row>
    <row r="535" ht="15.75" customHeight="1">
      <c r="J535" s="5"/>
      <c r="K535" s="5"/>
      <c r="L535" s="5"/>
    </row>
    <row r="536" ht="15.75" customHeight="1">
      <c r="J536" s="5"/>
      <c r="K536" s="5"/>
      <c r="L536" s="5"/>
    </row>
    <row r="537" ht="15.75" customHeight="1">
      <c r="J537" s="5"/>
      <c r="K537" s="5"/>
      <c r="L537" s="5"/>
    </row>
    <row r="538" ht="15.75" customHeight="1">
      <c r="J538" s="5"/>
      <c r="K538" s="5"/>
      <c r="L538" s="5"/>
    </row>
    <row r="539" ht="15.75" customHeight="1">
      <c r="J539" s="5"/>
      <c r="K539" s="5"/>
      <c r="L539" s="5"/>
    </row>
    <row r="540" ht="15.75" customHeight="1">
      <c r="J540" s="5"/>
      <c r="K540" s="5"/>
      <c r="L540" s="5"/>
    </row>
    <row r="541" ht="15.75" customHeight="1">
      <c r="J541" s="5"/>
      <c r="K541" s="5"/>
      <c r="L541" s="5"/>
    </row>
    <row r="542" ht="15.75" customHeight="1">
      <c r="J542" s="5"/>
      <c r="K542" s="5"/>
      <c r="L542" s="5"/>
    </row>
    <row r="543" ht="15.75" customHeight="1">
      <c r="J543" s="5"/>
      <c r="K543" s="5"/>
      <c r="L543" s="5"/>
    </row>
    <row r="544" ht="15.75" customHeight="1">
      <c r="J544" s="5"/>
      <c r="K544" s="5"/>
      <c r="L544" s="5"/>
    </row>
    <row r="545" ht="15.75" customHeight="1">
      <c r="J545" s="5"/>
      <c r="K545" s="5"/>
      <c r="L545" s="5"/>
    </row>
    <row r="546" ht="15.75" customHeight="1">
      <c r="J546" s="5"/>
      <c r="K546" s="5"/>
      <c r="L546" s="5"/>
    </row>
    <row r="547" ht="15.75" customHeight="1">
      <c r="J547" s="5"/>
      <c r="K547" s="5"/>
      <c r="L547" s="5"/>
    </row>
    <row r="548" ht="15.75" customHeight="1">
      <c r="J548" s="5"/>
      <c r="K548" s="5"/>
      <c r="L548" s="5"/>
    </row>
    <row r="549" ht="15.75" customHeight="1">
      <c r="J549" s="5"/>
      <c r="K549" s="5"/>
      <c r="L549" s="5"/>
    </row>
    <row r="550" ht="15.75" customHeight="1">
      <c r="J550" s="5"/>
      <c r="K550" s="5"/>
      <c r="L550" s="5"/>
    </row>
    <row r="551" ht="15.75" customHeight="1">
      <c r="J551" s="5"/>
      <c r="K551" s="5"/>
      <c r="L551" s="5"/>
    </row>
    <row r="552" ht="15.75" customHeight="1">
      <c r="J552" s="5"/>
      <c r="K552" s="5"/>
      <c r="L552" s="5"/>
    </row>
    <row r="553" ht="15.75" customHeight="1">
      <c r="J553" s="5"/>
      <c r="K553" s="5"/>
      <c r="L553" s="5"/>
    </row>
    <row r="554" ht="15.75" customHeight="1">
      <c r="J554" s="5"/>
      <c r="K554" s="5"/>
      <c r="L554" s="5"/>
    </row>
    <row r="555" ht="15.75" customHeight="1">
      <c r="J555" s="5"/>
      <c r="K555" s="5"/>
      <c r="L555" s="5"/>
    </row>
    <row r="556" ht="15.75" customHeight="1">
      <c r="J556" s="5"/>
      <c r="K556" s="5"/>
      <c r="L556" s="5"/>
    </row>
    <row r="557" ht="15.75" customHeight="1">
      <c r="J557" s="5"/>
      <c r="K557" s="5"/>
      <c r="L557" s="5"/>
    </row>
    <row r="558" ht="15.75" customHeight="1">
      <c r="J558" s="5"/>
      <c r="K558" s="5"/>
      <c r="L558" s="5"/>
    </row>
    <row r="559" ht="15.75" customHeight="1">
      <c r="J559" s="5"/>
      <c r="K559" s="5"/>
      <c r="L559" s="5"/>
    </row>
    <row r="560" ht="15.75" customHeight="1">
      <c r="J560" s="5"/>
      <c r="K560" s="5"/>
      <c r="L560" s="5"/>
    </row>
    <row r="561" ht="15.75" customHeight="1">
      <c r="J561" s="5"/>
      <c r="K561" s="5"/>
      <c r="L561" s="5"/>
    </row>
    <row r="562" ht="15.75" customHeight="1">
      <c r="J562" s="5"/>
      <c r="K562" s="5"/>
      <c r="L562" s="5"/>
    </row>
    <row r="563" ht="15.75" customHeight="1">
      <c r="J563" s="5"/>
      <c r="K563" s="5"/>
      <c r="L563" s="5"/>
    </row>
    <row r="564" ht="15.75" customHeight="1">
      <c r="J564" s="5"/>
      <c r="K564" s="5"/>
      <c r="L564" s="5"/>
    </row>
    <row r="565" ht="15.75" customHeight="1">
      <c r="J565" s="5"/>
      <c r="K565" s="5"/>
      <c r="L565" s="5"/>
    </row>
    <row r="566" ht="15.75" customHeight="1">
      <c r="J566" s="5"/>
      <c r="K566" s="5"/>
      <c r="L566" s="5"/>
    </row>
    <row r="567" ht="15.75" customHeight="1">
      <c r="J567" s="5"/>
      <c r="K567" s="5"/>
      <c r="L567" s="5"/>
    </row>
    <row r="568" ht="15.75" customHeight="1">
      <c r="J568" s="5"/>
      <c r="K568" s="5"/>
      <c r="L568" s="5"/>
    </row>
    <row r="569" ht="15.75" customHeight="1">
      <c r="J569" s="5"/>
      <c r="K569" s="5"/>
      <c r="L569" s="5"/>
    </row>
    <row r="570" ht="15.75" customHeight="1">
      <c r="J570" s="5"/>
      <c r="K570" s="5"/>
      <c r="L570" s="5"/>
    </row>
    <row r="571" ht="15.75" customHeight="1">
      <c r="J571" s="5"/>
      <c r="K571" s="5"/>
      <c r="L571" s="5"/>
    </row>
    <row r="572" ht="15.75" customHeight="1">
      <c r="J572" s="5"/>
      <c r="K572" s="5"/>
      <c r="L572" s="5"/>
    </row>
    <row r="573" ht="15.75" customHeight="1">
      <c r="J573" s="5"/>
      <c r="K573" s="5"/>
      <c r="L573" s="5"/>
    </row>
    <row r="574" ht="15.75" customHeight="1">
      <c r="J574" s="5"/>
      <c r="K574" s="5"/>
      <c r="L574" s="5"/>
    </row>
    <row r="575" ht="15.75" customHeight="1">
      <c r="J575" s="5"/>
      <c r="K575" s="5"/>
      <c r="L575" s="5"/>
    </row>
    <row r="576" ht="15.75" customHeight="1">
      <c r="J576" s="5"/>
      <c r="K576" s="5"/>
      <c r="L576" s="5"/>
    </row>
    <row r="577" ht="15.75" customHeight="1">
      <c r="J577" s="5"/>
      <c r="K577" s="5"/>
      <c r="L577" s="5"/>
    </row>
    <row r="578" ht="15.75" customHeight="1">
      <c r="J578" s="5"/>
      <c r="K578" s="5"/>
      <c r="L578" s="5"/>
    </row>
    <row r="579" ht="15.75" customHeight="1">
      <c r="J579" s="5"/>
      <c r="K579" s="5"/>
      <c r="L579" s="5"/>
    </row>
    <row r="580" ht="15.75" customHeight="1">
      <c r="J580" s="5"/>
      <c r="K580" s="5"/>
      <c r="L580" s="5"/>
    </row>
    <row r="581" ht="15.75" customHeight="1">
      <c r="J581" s="5"/>
      <c r="K581" s="5"/>
      <c r="L581" s="5"/>
    </row>
    <row r="582" ht="15.75" customHeight="1">
      <c r="J582" s="5"/>
      <c r="K582" s="5"/>
      <c r="L582" s="5"/>
    </row>
    <row r="583" ht="15.75" customHeight="1">
      <c r="J583" s="5"/>
      <c r="K583" s="5"/>
      <c r="L583" s="5"/>
    </row>
    <row r="584" ht="15.75" customHeight="1">
      <c r="J584" s="5"/>
      <c r="K584" s="5"/>
      <c r="L584" s="5"/>
    </row>
    <row r="585" ht="15.75" customHeight="1">
      <c r="J585" s="5"/>
      <c r="K585" s="5"/>
      <c r="L585" s="5"/>
    </row>
    <row r="586" ht="15.75" customHeight="1">
      <c r="J586" s="5"/>
      <c r="K586" s="5"/>
      <c r="L586" s="5"/>
    </row>
    <row r="587" ht="15.75" customHeight="1">
      <c r="J587" s="5"/>
      <c r="K587" s="5"/>
      <c r="L587" s="5"/>
    </row>
    <row r="588" ht="15.75" customHeight="1">
      <c r="J588" s="5"/>
      <c r="K588" s="5"/>
      <c r="L588" s="5"/>
    </row>
    <row r="589" ht="15.75" customHeight="1">
      <c r="J589" s="5"/>
      <c r="K589" s="5"/>
      <c r="L589" s="5"/>
    </row>
    <row r="590" ht="15.75" customHeight="1">
      <c r="J590" s="5"/>
      <c r="K590" s="5"/>
      <c r="L590" s="5"/>
    </row>
    <row r="591" ht="15.75" customHeight="1">
      <c r="J591" s="5"/>
      <c r="K591" s="5"/>
      <c r="L591" s="5"/>
    </row>
    <row r="592" ht="15.75" customHeight="1">
      <c r="J592" s="5"/>
      <c r="K592" s="5"/>
      <c r="L592" s="5"/>
    </row>
    <row r="593" ht="15.75" customHeight="1">
      <c r="J593" s="5"/>
      <c r="K593" s="5"/>
      <c r="L593" s="5"/>
    </row>
    <row r="594" ht="15.75" customHeight="1">
      <c r="J594" s="5"/>
      <c r="K594" s="5"/>
      <c r="L594" s="5"/>
    </row>
    <row r="595" ht="15.75" customHeight="1">
      <c r="J595" s="5"/>
      <c r="K595" s="5"/>
      <c r="L595" s="5"/>
    </row>
    <row r="596" ht="15.75" customHeight="1">
      <c r="J596" s="5"/>
      <c r="K596" s="5"/>
      <c r="L596" s="5"/>
    </row>
    <row r="597" ht="15.75" customHeight="1">
      <c r="J597" s="5"/>
      <c r="K597" s="5"/>
      <c r="L597" s="5"/>
    </row>
    <row r="598" ht="15.75" customHeight="1">
      <c r="J598" s="5"/>
      <c r="K598" s="5"/>
      <c r="L598" s="5"/>
    </row>
    <row r="599" ht="15.75" customHeight="1">
      <c r="J599" s="5"/>
      <c r="K599" s="5"/>
      <c r="L599" s="5"/>
    </row>
    <row r="600" ht="15.75" customHeight="1">
      <c r="J600" s="5"/>
      <c r="K600" s="5"/>
      <c r="L600" s="5"/>
    </row>
    <row r="601" ht="15.75" customHeight="1">
      <c r="J601" s="5"/>
      <c r="K601" s="5"/>
      <c r="L601" s="5"/>
    </row>
    <row r="602" ht="15.75" customHeight="1">
      <c r="J602" s="5"/>
      <c r="K602" s="5"/>
      <c r="L602" s="5"/>
    </row>
    <row r="603" ht="15.75" customHeight="1">
      <c r="J603" s="5"/>
      <c r="K603" s="5"/>
      <c r="L603" s="5"/>
    </row>
    <row r="604" ht="15.75" customHeight="1">
      <c r="J604" s="5"/>
      <c r="K604" s="5"/>
      <c r="L604" s="5"/>
    </row>
    <row r="605" ht="15.75" customHeight="1">
      <c r="J605" s="5"/>
      <c r="K605" s="5"/>
      <c r="L605" s="5"/>
    </row>
    <row r="606" ht="15.75" customHeight="1">
      <c r="J606" s="5"/>
      <c r="K606" s="5"/>
      <c r="L606" s="5"/>
    </row>
    <row r="607" ht="15.75" customHeight="1">
      <c r="J607" s="5"/>
      <c r="K607" s="5"/>
      <c r="L607" s="5"/>
    </row>
    <row r="608" ht="15.75" customHeight="1">
      <c r="J608" s="5"/>
      <c r="K608" s="5"/>
      <c r="L608" s="5"/>
    </row>
    <row r="609" ht="15.75" customHeight="1">
      <c r="J609" s="5"/>
      <c r="K609" s="5"/>
      <c r="L609" s="5"/>
    </row>
    <row r="610" ht="15.75" customHeight="1">
      <c r="J610" s="5"/>
      <c r="K610" s="5"/>
      <c r="L610" s="5"/>
    </row>
    <row r="611" ht="15.75" customHeight="1">
      <c r="J611" s="5"/>
      <c r="K611" s="5"/>
      <c r="L611" s="5"/>
    </row>
    <row r="612" ht="15.75" customHeight="1">
      <c r="J612" s="5"/>
      <c r="K612" s="5"/>
      <c r="L612" s="5"/>
    </row>
    <row r="613" ht="15.75" customHeight="1">
      <c r="J613" s="5"/>
      <c r="K613" s="5"/>
      <c r="L613" s="5"/>
    </row>
    <row r="614" ht="15.75" customHeight="1">
      <c r="J614" s="5"/>
      <c r="K614" s="5"/>
      <c r="L614" s="5"/>
    </row>
    <row r="615" ht="15.75" customHeight="1">
      <c r="J615" s="5"/>
      <c r="K615" s="5"/>
      <c r="L615" s="5"/>
    </row>
    <row r="616" ht="15.75" customHeight="1">
      <c r="J616" s="5"/>
      <c r="K616" s="5"/>
      <c r="L616" s="5"/>
    </row>
    <row r="617" ht="15.75" customHeight="1">
      <c r="J617" s="5"/>
      <c r="K617" s="5"/>
      <c r="L617" s="5"/>
    </row>
    <row r="618" ht="15.75" customHeight="1">
      <c r="J618" s="5"/>
      <c r="K618" s="5"/>
      <c r="L618" s="5"/>
    </row>
    <row r="619" ht="15.75" customHeight="1">
      <c r="J619" s="5"/>
      <c r="K619" s="5"/>
      <c r="L619" s="5"/>
    </row>
    <row r="620" ht="15.75" customHeight="1">
      <c r="J620" s="5"/>
      <c r="K620" s="5"/>
      <c r="L620" s="5"/>
    </row>
    <row r="621" ht="15.75" customHeight="1">
      <c r="J621" s="5"/>
      <c r="K621" s="5"/>
      <c r="L621" s="5"/>
    </row>
    <row r="622" ht="15.75" customHeight="1">
      <c r="J622" s="5"/>
      <c r="K622" s="5"/>
      <c r="L622" s="5"/>
    </row>
    <row r="623" ht="15.75" customHeight="1">
      <c r="J623" s="5"/>
      <c r="K623" s="5"/>
      <c r="L623" s="5"/>
    </row>
    <row r="624" ht="15.75" customHeight="1">
      <c r="J624" s="5"/>
      <c r="K624" s="5"/>
      <c r="L624" s="5"/>
    </row>
    <row r="625" ht="15.75" customHeight="1">
      <c r="J625" s="5"/>
      <c r="K625" s="5"/>
      <c r="L625" s="5"/>
    </row>
    <row r="626" ht="15.75" customHeight="1">
      <c r="J626" s="5"/>
      <c r="K626" s="5"/>
      <c r="L626" s="5"/>
    </row>
    <row r="627" ht="15.75" customHeight="1">
      <c r="J627" s="5"/>
      <c r="K627" s="5"/>
      <c r="L627" s="5"/>
    </row>
    <row r="628" ht="15.75" customHeight="1">
      <c r="J628" s="5"/>
      <c r="K628" s="5"/>
      <c r="L628" s="5"/>
    </row>
    <row r="629" ht="15.75" customHeight="1">
      <c r="J629" s="5"/>
      <c r="K629" s="5"/>
      <c r="L629" s="5"/>
    </row>
    <row r="630" ht="15.75" customHeight="1">
      <c r="J630" s="5"/>
      <c r="K630" s="5"/>
      <c r="L630" s="5"/>
    </row>
    <row r="631" ht="15.75" customHeight="1">
      <c r="J631" s="5"/>
      <c r="K631" s="5"/>
      <c r="L631" s="5"/>
    </row>
    <row r="632" ht="15.75" customHeight="1">
      <c r="J632" s="5"/>
      <c r="K632" s="5"/>
      <c r="L632" s="5"/>
    </row>
    <row r="633" ht="15.75" customHeight="1">
      <c r="J633" s="5"/>
      <c r="K633" s="5"/>
      <c r="L633" s="5"/>
    </row>
    <row r="634" ht="15.75" customHeight="1">
      <c r="J634" s="5"/>
      <c r="K634" s="5"/>
      <c r="L634" s="5"/>
    </row>
    <row r="635" ht="15.75" customHeight="1">
      <c r="J635" s="5"/>
      <c r="K635" s="5"/>
      <c r="L635" s="5"/>
    </row>
    <row r="636" ht="15.75" customHeight="1">
      <c r="J636" s="5"/>
      <c r="K636" s="5"/>
      <c r="L636" s="5"/>
    </row>
    <row r="637" ht="15.75" customHeight="1">
      <c r="J637" s="5"/>
      <c r="K637" s="5"/>
      <c r="L637" s="5"/>
    </row>
    <row r="638" ht="15.75" customHeight="1">
      <c r="J638" s="5"/>
      <c r="K638" s="5"/>
      <c r="L638" s="5"/>
    </row>
    <row r="639" ht="15.75" customHeight="1">
      <c r="J639" s="5"/>
      <c r="K639" s="5"/>
      <c r="L639" s="5"/>
    </row>
    <row r="640" ht="15.75" customHeight="1">
      <c r="J640" s="5"/>
      <c r="K640" s="5"/>
      <c r="L640" s="5"/>
    </row>
    <row r="641" ht="15.75" customHeight="1">
      <c r="J641" s="5"/>
      <c r="K641" s="5"/>
      <c r="L641" s="5"/>
    </row>
    <row r="642" ht="15.75" customHeight="1">
      <c r="J642" s="5"/>
      <c r="K642" s="5"/>
      <c r="L642" s="5"/>
    </row>
    <row r="643" ht="15.75" customHeight="1">
      <c r="J643" s="5"/>
      <c r="K643" s="5"/>
      <c r="L643" s="5"/>
    </row>
    <row r="644" ht="15.75" customHeight="1">
      <c r="J644" s="5"/>
      <c r="K644" s="5"/>
      <c r="L644" s="5"/>
    </row>
    <row r="645" ht="15.75" customHeight="1">
      <c r="J645" s="5"/>
      <c r="K645" s="5"/>
      <c r="L645" s="5"/>
    </row>
    <row r="646" ht="15.75" customHeight="1">
      <c r="J646" s="5"/>
      <c r="K646" s="5"/>
      <c r="L646" s="5"/>
    </row>
    <row r="647" ht="15.75" customHeight="1">
      <c r="J647" s="5"/>
      <c r="K647" s="5"/>
      <c r="L647" s="5"/>
    </row>
    <row r="648" ht="15.75" customHeight="1">
      <c r="J648" s="5"/>
      <c r="K648" s="5"/>
      <c r="L648" s="5"/>
    </row>
    <row r="649" ht="15.75" customHeight="1">
      <c r="J649" s="5"/>
      <c r="K649" s="5"/>
      <c r="L649" s="5"/>
    </row>
    <row r="650" ht="15.75" customHeight="1">
      <c r="J650" s="5"/>
      <c r="K650" s="5"/>
      <c r="L650" s="5"/>
    </row>
    <row r="651" ht="15.75" customHeight="1">
      <c r="J651" s="5"/>
      <c r="K651" s="5"/>
      <c r="L651" s="5"/>
    </row>
    <row r="652" ht="15.75" customHeight="1">
      <c r="J652" s="5"/>
      <c r="K652" s="5"/>
      <c r="L652" s="5"/>
    </row>
    <row r="653" ht="15.75" customHeight="1">
      <c r="J653" s="5"/>
      <c r="K653" s="5"/>
      <c r="L653" s="5"/>
    </row>
    <row r="654" ht="15.75" customHeight="1">
      <c r="J654" s="5"/>
      <c r="K654" s="5"/>
      <c r="L654" s="5"/>
    </row>
    <row r="655" ht="15.75" customHeight="1">
      <c r="J655" s="5"/>
      <c r="K655" s="5"/>
      <c r="L655" s="5"/>
    </row>
    <row r="656" ht="15.75" customHeight="1">
      <c r="J656" s="5"/>
      <c r="K656" s="5"/>
      <c r="L656" s="5"/>
    </row>
    <row r="657" ht="15.75" customHeight="1">
      <c r="J657" s="5"/>
      <c r="K657" s="5"/>
      <c r="L657" s="5"/>
    </row>
    <row r="658" ht="15.75" customHeight="1">
      <c r="J658" s="5"/>
      <c r="K658" s="5"/>
      <c r="L658" s="5"/>
    </row>
    <row r="659" ht="15.75" customHeight="1">
      <c r="J659" s="5"/>
      <c r="K659" s="5"/>
      <c r="L659" s="5"/>
    </row>
    <row r="660" ht="15.75" customHeight="1">
      <c r="J660" s="5"/>
      <c r="K660" s="5"/>
      <c r="L660" s="5"/>
    </row>
    <row r="661" ht="15.75" customHeight="1">
      <c r="J661" s="5"/>
      <c r="K661" s="5"/>
      <c r="L661" s="5"/>
    </row>
    <row r="662" ht="15.75" customHeight="1">
      <c r="J662" s="5"/>
      <c r="K662" s="5"/>
      <c r="L662" s="5"/>
    </row>
    <row r="663" ht="15.75" customHeight="1">
      <c r="J663" s="5"/>
      <c r="K663" s="5"/>
      <c r="L663" s="5"/>
    </row>
    <row r="664" ht="15.75" customHeight="1">
      <c r="J664" s="5"/>
      <c r="K664" s="5"/>
      <c r="L664" s="5"/>
    </row>
    <row r="665" ht="15.75" customHeight="1">
      <c r="J665" s="5"/>
      <c r="K665" s="5"/>
      <c r="L665" s="5"/>
    </row>
    <row r="666" ht="15.75" customHeight="1">
      <c r="J666" s="5"/>
      <c r="K666" s="5"/>
      <c r="L666" s="5"/>
    </row>
    <row r="667" ht="15.75" customHeight="1">
      <c r="J667" s="5"/>
      <c r="K667" s="5"/>
      <c r="L667" s="5"/>
    </row>
    <row r="668" ht="15.75" customHeight="1">
      <c r="J668" s="5"/>
      <c r="K668" s="5"/>
      <c r="L668" s="5"/>
    </row>
    <row r="669" ht="15.75" customHeight="1">
      <c r="J669" s="5"/>
      <c r="K669" s="5"/>
      <c r="L669" s="5"/>
    </row>
    <row r="670" ht="15.75" customHeight="1">
      <c r="J670" s="5"/>
      <c r="K670" s="5"/>
      <c r="L670" s="5"/>
    </row>
    <row r="671" ht="15.75" customHeight="1">
      <c r="J671" s="5"/>
      <c r="K671" s="5"/>
      <c r="L671" s="5"/>
    </row>
    <row r="672" ht="15.75" customHeight="1">
      <c r="J672" s="5"/>
      <c r="K672" s="5"/>
      <c r="L672" s="5"/>
    </row>
    <row r="673" ht="15.75" customHeight="1">
      <c r="J673" s="5"/>
      <c r="K673" s="5"/>
      <c r="L673" s="5"/>
    </row>
    <row r="674" ht="15.75" customHeight="1">
      <c r="J674" s="5"/>
      <c r="K674" s="5"/>
      <c r="L674" s="5"/>
    </row>
    <row r="675" ht="15.75" customHeight="1">
      <c r="J675" s="5"/>
      <c r="K675" s="5"/>
      <c r="L675" s="5"/>
    </row>
    <row r="676" ht="15.75" customHeight="1">
      <c r="J676" s="5"/>
      <c r="K676" s="5"/>
      <c r="L676" s="5"/>
    </row>
    <row r="677" ht="15.75" customHeight="1">
      <c r="J677" s="5"/>
      <c r="K677" s="5"/>
      <c r="L677" s="5"/>
    </row>
    <row r="678" ht="15.75" customHeight="1">
      <c r="J678" s="5"/>
      <c r="K678" s="5"/>
      <c r="L678" s="5"/>
    </row>
    <row r="679" ht="15.75" customHeight="1">
      <c r="J679" s="5"/>
      <c r="K679" s="5"/>
      <c r="L679" s="5"/>
    </row>
    <row r="680" ht="15.75" customHeight="1">
      <c r="J680" s="5"/>
      <c r="K680" s="5"/>
      <c r="L680" s="5"/>
    </row>
    <row r="681" ht="15.75" customHeight="1">
      <c r="J681" s="5"/>
      <c r="K681" s="5"/>
      <c r="L681" s="5"/>
    </row>
    <row r="682" ht="15.75" customHeight="1">
      <c r="J682" s="5"/>
      <c r="K682" s="5"/>
      <c r="L682" s="5"/>
    </row>
    <row r="683" ht="15.75" customHeight="1">
      <c r="J683" s="5"/>
      <c r="K683" s="5"/>
      <c r="L683" s="5"/>
    </row>
    <row r="684" ht="15.75" customHeight="1">
      <c r="J684" s="5"/>
      <c r="K684" s="5"/>
      <c r="L684" s="5"/>
    </row>
    <row r="685" ht="15.75" customHeight="1">
      <c r="J685" s="5"/>
      <c r="K685" s="5"/>
      <c r="L685" s="5"/>
    </row>
    <row r="686" ht="15.75" customHeight="1">
      <c r="J686" s="5"/>
      <c r="K686" s="5"/>
      <c r="L686" s="5"/>
    </row>
    <row r="687" ht="15.75" customHeight="1">
      <c r="J687" s="5"/>
      <c r="K687" s="5"/>
      <c r="L687" s="5"/>
    </row>
    <row r="688" ht="15.75" customHeight="1">
      <c r="J688" s="5"/>
      <c r="K688" s="5"/>
      <c r="L688" s="5"/>
    </row>
    <row r="689" ht="15.75" customHeight="1">
      <c r="J689" s="5"/>
      <c r="K689" s="5"/>
      <c r="L689" s="5"/>
    </row>
    <row r="690" ht="15.75" customHeight="1">
      <c r="J690" s="5"/>
      <c r="K690" s="5"/>
      <c r="L690" s="5"/>
    </row>
    <row r="691" ht="15.75" customHeight="1">
      <c r="J691" s="5"/>
      <c r="K691" s="5"/>
      <c r="L691" s="5"/>
    </row>
    <row r="692" ht="15.75" customHeight="1">
      <c r="J692" s="5"/>
      <c r="K692" s="5"/>
      <c r="L692" s="5"/>
    </row>
    <row r="693" ht="15.75" customHeight="1">
      <c r="J693" s="5"/>
      <c r="K693" s="5"/>
      <c r="L693" s="5"/>
    </row>
    <row r="694" ht="15.75" customHeight="1">
      <c r="J694" s="5"/>
      <c r="K694" s="5"/>
      <c r="L694" s="5"/>
    </row>
    <row r="695" ht="15.75" customHeight="1">
      <c r="J695" s="5"/>
      <c r="K695" s="5"/>
      <c r="L695" s="5"/>
    </row>
    <row r="696" ht="15.75" customHeight="1">
      <c r="J696" s="5"/>
      <c r="K696" s="5"/>
      <c r="L696" s="5"/>
    </row>
    <row r="697" ht="15.75" customHeight="1">
      <c r="J697" s="5"/>
      <c r="K697" s="5"/>
      <c r="L697" s="5"/>
    </row>
    <row r="698" ht="15.75" customHeight="1">
      <c r="J698" s="5"/>
      <c r="K698" s="5"/>
      <c r="L698" s="5"/>
    </row>
    <row r="699" ht="15.75" customHeight="1">
      <c r="J699" s="5"/>
      <c r="K699" s="5"/>
      <c r="L699" s="5"/>
    </row>
    <row r="700" ht="15.75" customHeight="1">
      <c r="J700" s="5"/>
      <c r="K700" s="5"/>
      <c r="L700" s="5"/>
    </row>
    <row r="701" ht="15.75" customHeight="1">
      <c r="J701" s="5"/>
      <c r="K701" s="5"/>
      <c r="L701" s="5"/>
    </row>
    <row r="702" ht="15.75" customHeight="1">
      <c r="J702" s="5"/>
      <c r="K702" s="5"/>
      <c r="L702" s="5"/>
    </row>
    <row r="703" ht="15.75" customHeight="1">
      <c r="J703" s="5"/>
      <c r="K703" s="5"/>
      <c r="L703" s="5"/>
    </row>
    <row r="704" ht="15.75" customHeight="1">
      <c r="J704" s="5"/>
      <c r="K704" s="5"/>
      <c r="L704" s="5"/>
    </row>
    <row r="705" ht="15.75" customHeight="1">
      <c r="J705" s="5"/>
      <c r="K705" s="5"/>
      <c r="L705" s="5"/>
    </row>
    <row r="706" ht="15.75" customHeight="1">
      <c r="J706" s="5"/>
      <c r="K706" s="5"/>
      <c r="L706" s="5"/>
    </row>
    <row r="707" ht="15.75" customHeight="1">
      <c r="J707" s="5"/>
      <c r="K707" s="5"/>
      <c r="L707" s="5"/>
    </row>
    <row r="708" ht="15.75" customHeight="1">
      <c r="J708" s="5"/>
      <c r="K708" s="5"/>
      <c r="L708" s="5"/>
    </row>
    <row r="709" ht="15.75" customHeight="1">
      <c r="J709" s="5"/>
      <c r="K709" s="5"/>
      <c r="L709" s="5"/>
    </row>
    <row r="710" ht="15.75" customHeight="1">
      <c r="J710" s="5"/>
      <c r="K710" s="5"/>
      <c r="L710" s="5"/>
    </row>
    <row r="711" ht="15.75" customHeight="1">
      <c r="J711" s="5"/>
      <c r="K711" s="5"/>
      <c r="L711" s="5"/>
    </row>
    <row r="712" ht="15.75" customHeight="1">
      <c r="J712" s="5"/>
      <c r="K712" s="5"/>
      <c r="L712" s="5"/>
    </row>
    <row r="713" ht="15.75" customHeight="1">
      <c r="J713" s="5"/>
      <c r="K713" s="5"/>
      <c r="L713" s="5"/>
    </row>
    <row r="714" ht="15.75" customHeight="1">
      <c r="J714" s="5"/>
      <c r="K714" s="5"/>
      <c r="L714" s="5"/>
    </row>
    <row r="715" ht="15.75" customHeight="1">
      <c r="J715" s="5"/>
      <c r="K715" s="5"/>
      <c r="L715" s="5"/>
    </row>
    <row r="716" ht="15.75" customHeight="1">
      <c r="J716" s="5"/>
      <c r="K716" s="5"/>
      <c r="L716" s="5"/>
    </row>
    <row r="717" ht="15.75" customHeight="1">
      <c r="J717" s="5"/>
      <c r="K717" s="5"/>
      <c r="L717" s="5"/>
    </row>
    <row r="718" ht="15.75" customHeight="1">
      <c r="J718" s="5"/>
      <c r="K718" s="5"/>
      <c r="L718" s="5"/>
    </row>
    <row r="719" ht="15.75" customHeight="1">
      <c r="J719" s="5"/>
      <c r="K719" s="5"/>
      <c r="L719" s="5"/>
    </row>
    <row r="720" ht="15.75" customHeight="1">
      <c r="J720" s="5"/>
      <c r="K720" s="5"/>
      <c r="L720" s="5"/>
    </row>
    <row r="721" ht="15.75" customHeight="1">
      <c r="J721" s="5"/>
      <c r="K721" s="5"/>
      <c r="L721" s="5"/>
    </row>
    <row r="722" ht="15.75" customHeight="1">
      <c r="J722" s="5"/>
      <c r="K722" s="5"/>
      <c r="L722" s="5"/>
    </row>
    <row r="723" ht="15.75" customHeight="1">
      <c r="J723" s="5"/>
      <c r="K723" s="5"/>
      <c r="L723" s="5"/>
    </row>
    <row r="724" ht="15.75" customHeight="1">
      <c r="J724" s="5"/>
      <c r="K724" s="5"/>
      <c r="L724" s="5"/>
    </row>
    <row r="725" ht="15.75" customHeight="1">
      <c r="J725" s="5"/>
      <c r="K725" s="5"/>
      <c r="L725" s="5"/>
    </row>
    <row r="726" ht="15.75" customHeight="1">
      <c r="J726" s="5"/>
      <c r="K726" s="5"/>
      <c r="L726" s="5"/>
    </row>
    <row r="727" ht="15.75" customHeight="1">
      <c r="J727" s="5"/>
      <c r="K727" s="5"/>
      <c r="L727" s="5"/>
    </row>
    <row r="728" ht="15.75" customHeight="1">
      <c r="J728" s="5"/>
      <c r="K728" s="5"/>
      <c r="L728" s="5"/>
    </row>
    <row r="729" ht="15.75" customHeight="1">
      <c r="J729" s="5"/>
      <c r="K729" s="5"/>
      <c r="L729" s="5"/>
    </row>
    <row r="730" ht="15.75" customHeight="1">
      <c r="J730" s="5"/>
      <c r="K730" s="5"/>
      <c r="L730" s="5"/>
    </row>
    <row r="731" ht="15.75" customHeight="1">
      <c r="J731" s="5"/>
      <c r="K731" s="5"/>
      <c r="L731" s="5"/>
    </row>
    <row r="732" ht="15.75" customHeight="1">
      <c r="J732" s="5"/>
      <c r="K732" s="5"/>
      <c r="L732" s="5"/>
    </row>
    <row r="733" ht="15.75" customHeight="1">
      <c r="J733" s="5"/>
      <c r="K733" s="5"/>
      <c r="L733" s="5"/>
    </row>
    <row r="734" ht="15.75" customHeight="1">
      <c r="J734" s="5"/>
      <c r="K734" s="5"/>
      <c r="L734" s="5"/>
    </row>
    <row r="735" ht="15.75" customHeight="1">
      <c r="J735" s="5"/>
      <c r="K735" s="5"/>
      <c r="L735" s="5"/>
    </row>
    <row r="736" ht="15.75" customHeight="1">
      <c r="J736" s="5"/>
      <c r="K736" s="5"/>
      <c r="L736" s="5"/>
    </row>
    <row r="737" ht="15.75" customHeight="1">
      <c r="J737" s="5"/>
      <c r="K737" s="5"/>
      <c r="L737" s="5"/>
    </row>
    <row r="738" ht="15.75" customHeight="1">
      <c r="J738" s="5"/>
      <c r="K738" s="5"/>
      <c r="L738" s="5"/>
    </row>
    <row r="739" ht="15.75" customHeight="1">
      <c r="J739" s="5"/>
      <c r="K739" s="5"/>
      <c r="L739" s="5"/>
    </row>
    <row r="740" ht="15.75" customHeight="1">
      <c r="J740" s="5"/>
      <c r="K740" s="5"/>
      <c r="L740" s="5"/>
    </row>
    <row r="741" ht="15.75" customHeight="1">
      <c r="J741" s="5"/>
      <c r="K741" s="5"/>
      <c r="L741" s="5"/>
    </row>
    <row r="742" ht="15.75" customHeight="1">
      <c r="J742" s="5"/>
      <c r="K742" s="5"/>
      <c r="L742" s="5"/>
    </row>
    <row r="743" ht="15.75" customHeight="1">
      <c r="J743" s="5"/>
      <c r="K743" s="5"/>
      <c r="L743" s="5"/>
    </row>
    <row r="744" ht="15.75" customHeight="1">
      <c r="J744" s="5"/>
      <c r="K744" s="5"/>
      <c r="L744" s="5"/>
    </row>
    <row r="745" ht="15.75" customHeight="1">
      <c r="J745" s="5"/>
      <c r="K745" s="5"/>
      <c r="L745" s="5"/>
    </row>
    <row r="746" ht="15.75" customHeight="1">
      <c r="J746" s="5"/>
      <c r="K746" s="5"/>
      <c r="L746" s="5"/>
    </row>
    <row r="747" ht="15.75" customHeight="1">
      <c r="J747" s="5"/>
      <c r="K747" s="5"/>
      <c r="L747" s="5"/>
    </row>
    <row r="748" ht="15.75" customHeight="1">
      <c r="J748" s="5"/>
      <c r="K748" s="5"/>
      <c r="L748" s="5"/>
    </row>
    <row r="749" ht="15.75" customHeight="1">
      <c r="J749" s="5"/>
      <c r="K749" s="5"/>
      <c r="L749" s="5"/>
    </row>
    <row r="750" ht="15.75" customHeight="1">
      <c r="J750" s="5"/>
      <c r="K750" s="5"/>
      <c r="L750" s="5"/>
    </row>
    <row r="751" ht="15.75" customHeight="1">
      <c r="J751" s="5"/>
      <c r="K751" s="5"/>
      <c r="L751" s="5"/>
    </row>
    <row r="752" ht="15.75" customHeight="1">
      <c r="J752" s="5"/>
      <c r="K752" s="5"/>
      <c r="L752" s="5"/>
    </row>
    <row r="753" ht="15.75" customHeight="1">
      <c r="J753" s="5"/>
      <c r="K753" s="5"/>
      <c r="L753" s="5"/>
    </row>
    <row r="754" ht="15.75" customHeight="1">
      <c r="J754" s="5"/>
      <c r="K754" s="5"/>
      <c r="L754" s="5"/>
    </row>
    <row r="755" ht="15.75" customHeight="1">
      <c r="J755" s="5"/>
      <c r="K755" s="5"/>
      <c r="L755" s="5"/>
    </row>
    <row r="756" ht="15.75" customHeight="1">
      <c r="J756" s="5"/>
      <c r="K756" s="5"/>
      <c r="L756" s="5"/>
    </row>
    <row r="757" ht="15.75" customHeight="1">
      <c r="J757" s="5"/>
      <c r="K757" s="5"/>
      <c r="L757" s="5"/>
    </row>
    <row r="758" ht="15.75" customHeight="1">
      <c r="J758" s="5"/>
      <c r="K758" s="5"/>
      <c r="L758" s="5"/>
    </row>
    <row r="759" ht="15.75" customHeight="1">
      <c r="J759" s="5"/>
      <c r="K759" s="5"/>
      <c r="L759" s="5"/>
    </row>
    <row r="760" ht="15.75" customHeight="1">
      <c r="J760" s="5"/>
      <c r="K760" s="5"/>
      <c r="L760" s="5"/>
    </row>
    <row r="761" ht="15.75" customHeight="1">
      <c r="J761" s="5"/>
      <c r="K761" s="5"/>
      <c r="L761" s="5"/>
    </row>
    <row r="762" ht="15.75" customHeight="1">
      <c r="J762" s="5"/>
      <c r="K762" s="5"/>
      <c r="L762" s="5"/>
    </row>
    <row r="763" ht="15.75" customHeight="1">
      <c r="J763" s="5"/>
      <c r="K763" s="5"/>
      <c r="L763" s="5"/>
    </row>
    <row r="764" ht="15.75" customHeight="1">
      <c r="J764" s="5"/>
      <c r="K764" s="5"/>
      <c r="L764" s="5"/>
    </row>
    <row r="765" ht="15.75" customHeight="1">
      <c r="J765" s="5"/>
      <c r="K765" s="5"/>
      <c r="L765" s="5"/>
    </row>
    <row r="766" ht="15.75" customHeight="1">
      <c r="J766" s="5"/>
      <c r="K766" s="5"/>
      <c r="L766" s="5"/>
    </row>
    <row r="767" ht="15.75" customHeight="1">
      <c r="J767" s="5"/>
      <c r="K767" s="5"/>
      <c r="L767" s="5"/>
    </row>
    <row r="768" ht="15.75" customHeight="1">
      <c r="J768" s="5"/>
      <c r="K768" s="5"/>
      <c r="L768" s="5"/>
    </row>
    <row r="769" ht="15.75" customHeight="1">
      <c r="J769" s="5"/>
      <c r="K769" s="5"/>
      <c r="L769" s="5"/>
    </row>
    <row r="770" ht="15.75" customHeight="1">
      <c r="J770" s="5"/>
      <c r="K770" s="5"/>
      <c r="L770" s="5"/>
    </row>
    <row r="771" ht="15.75" customHeight="1">
      <c r="J771" s="5"/>
      <c r="K771" s="5"/>
      <c r="L771" s="5"/>
    </row>
    <row r="772" ht="15.75" customHeight="1">
      <c r="J772" s="5"/>
      <c r="K772" s="5"/>
      <c r="L772" s="5"/>
    </row>
    <row r="773" ht="15.75" customHeight="1">
      <c r="J773" s="5"/>
      <c r="K773" s="5"/>
      <c r="L773" s="5"/>
    </row>
    <row r="774" ht="15.75" customHeight="1">
      <c r="J774" s="5"/>
      <c r="K774" s="5"/>
      <c r="L774" s="5"/>
    </row>
    <row r="775" ht="15.75" customHeight="1">
      <c r="J775" s="5"/>
      <c r="K775" s="5"/>
      <c r="L775" s="5"/>
    </row>
    <row r="776" ht="15.75" customHeight="1">
      <c r="J776" s="5"/>
      <c r="K776" s="5"/>
      <c r="L776" s="5"/>
    </row>
    <row r="777" ht="15.75" customHeight="1">
      <c r="J777" s="5"/>
      <c r="K777" s="5"/>
      <c r="L777" s="5"/>
    </row>
    <row r="778" ht="15.75" customHeight="1">
      <c r="J778" s="5"/>
      <c r="K778" s="5"/>
      <c r="L778" s="5"/>
    </row>
    <row r="779" ht="15.75" customHeight="1">
      <c r="J779" s="5"/>
      <c r="K779" s="5"/>
      <c r="L779" s="5"/>
    </row>
    <row r="780" ht="15.75" customHeight="1">
      <c r="J780" s="5"/>
      <c r="K780" s="5"/>
      <c r="L780" s="5"/>
    </row>
    <row r="781" ht="15.75" customHeight="1">
      <c r="J781" s="5"/>
      <c r="K781" s="5"/>
      <c r="L781" s="5"/>
    </row>
    <row r="782" ht="15.75" customHeight="1">
      <c r="J782" s="5"/>
      <c r="K782" s="5"/>
      <c r="L782" s="5"/>
    </row>
    <row r="783" ht="15.75" customHeight="1">
      <c r="J783" s="5"/>
      <c r="K783" s="5"/>
      <c r="L783" s="5"/>
    </row>
    <row r="784" ht="15.75" customHeight="1">
      <c r="J784" s="5"/>
      <c r="K784" s="5"/>
      <c r="L784" s="5"/>
    </row>
    <row r="785" ht="15.75" customHeight="1">
      <c r="J785" s="5"/>
      <c r="K785" s="5"/>
      <c r="L785" s="5"/>
    </row>
    <row r="786" ht="15.75" customHeight="1">
      <c r="J786" s="5"/>
      <c r="K786" s="5"/>
      <c r="L786" s="5"/>
    </row>
    <row r="787" ht="15.75" customHeight="1">
      <c r="J787" s="5"/>
      <c r="K787" s="5"/>
      <c r="L787" s="5"/>
    </row>
    <row r="788" ht="15.75" customHeight="1">
      <c r="J788" s="5"/>
      <c r="K788" s="5"/>
      <c r="L788" s="5"/>
    </row>
    <row r="789" ht="15.75" customHeight="1">
      <c r="J789" s="5"/>
      <c r="K789" s="5"/>
      <c r="L789" s="5"/>
    </row>
    <row r="790" ht="15.75" customHeight="1">
      <c r="J790" s="5"/>
      <c r="K790" s="5"/>
      <c r="L790" s="5"/>
    </row>
    <row r="791" ht="15.75" customHeight="1">
      <c r="J791" s="5"/>
      <c r="K791" s="5"/>
      <c r="L791" s="5"/>
    </row>
    <row r="792" ht="15.75" customHeight="1">
      <c r="J792" s="5"/>
      <c r="K792" s="5"/>
      <c r="L792" s="5"/>
    </row>
    <row r="793" ht="15.75" customHeight="1">
      <c r="J793" s="5"/>
      <c r="K793" s="5"/>
      <c r="L793" s="5"/>
    </row>
    <row r="794" ht="15.75" customHeight="1">
      <c r="J794" s="5"/>
      <c r="K794" s="5"/>
      <c r="L794" s="5"/>
    </row>
    <row r="795" ht="15.75" customHeight="1">
      <c r="J795" s="5"/>
      <c r="K795" s="5"/>
      <c r="L795" s="5"/>
    </row>
    <row r="796" ht="15.75" customHeight="1">
      <c r="J796" s="5"/>
      <c r="K796" s="5"/>
      <c r="L796" s="5"/>
    </row>
    <row r="797" ht="15.75" customHeight="1">
      <c r="J797" s="5"/>
      <c r="K797" s="5"/>
      <c r="L797" s="5"/>
    </row>
    <row r="798" ht="15.75" customHeight="1">
      <c r="J798" s="5"/>
      <c r="K798" s="5"/>
      <c r="L798" s="5"/>
    </row>
    <row r="799" ht="15.75" customHeight="1">
      <c r="J799" s="5"/>
      <c r="K799" s="5"/>
      <c r="L799" s="5"/>
    </row>
    <row r="800" ht="15.75" customHeight="1">
      <c r="J800" s="5"/>
      <c r="K800" s="5"/>
      <c r="L800" s="5"/>
    </row>
    <row r="801" ht="15.75" customHeight="1">
      <c r="J801" s="5"/>
      <c r="K801" s="5"/>
      <c r="L801" s="5"/>
    </row>
    <row r="802" ht="15.75" customHeight="1">
      <c r="J802" s="5"/>
      <c r="K802" s="5"/>
      <c r="L802" s="5"/>
    </row>
    <row r="803" ht="15.75" customHeight="1">
      <c r="J803" s="5"/>
      <c r="K803" s="5"/>
      <c r="L803" s="5"/>
    </row>
    <row r="804" ht="15.75" customHeight="1">
      <c r="J804" s="5"/>
      <c r="K804" s="5"/>
      <c r="L804" s="5"/>
    </row>
    <row r="805" ht="15.75" customHeight="1">
      <c r="J805" s="5"/>
      <c r="K805" s="5"/>
      <c r="L805" s="5"/>
    </row>
    <row r="806" ht="15.75" customHeight="1">
      <c r="J806" s="5"/>
      <c r="K806" s="5"/>
      <c r="L806" s="5"/>
    </row>
    <row r="807" ht="15.75" customHeight="1">
      <c r="J807" s="5"/>
      <c r="K807" s="5"/>
      <c r="L807" s="5"/>
    </row>
    <row r="808" ht="15.75" customHeight="1">
      <c r="J808" s="5"/>
      <c r="K808" s="5"/>
      <c r="L808" s="5"/>
    </row>
    <row r="809" ht="15.75" customHeight="1">
      <c r="J809" s="5"/>
      <c r="K809" s="5"/>
      <c r="L809" s="5"/>
    </row>
    <row r="810" ht="15.75" customHeight="1">
      <c r="J810" s="5"/>
      <c r="K810" s="5"/>
      <c r="L810" s="5"/>
    </row>
    <row r="811" ht="15.75" customHeight="1">
      <c r="J811" s="5"/>
      <c r="K811" s="5"/>
      <c r="L811" s="5"/>
    </row>
    <row r="812" ht="15.75" customHeight="1">
      <c r="J812" s="5"/>
      <c r="K812" s="5"/>
      <c r="L812" s="5"/>
    </row>
    <row r="813" ht="15.75" customHeight="1">
      <c r="J813" s="5"/>
      <c r="K813" s="5"/>
      <c r="L813" s="5"/>
    </row>
    <row r="814" ht="15.75" customHeight="1">
      <c r="J814" s="5"/>
      <c r="K814" s="5"/>
      <c r="L814" s="5"/>
    </row>
    <row r="815" ht="15.75" customHeight="1">
      <c r="J815" s="5"/>
      <c r="K815" s="5"/>
      <c r="L815" s="5"/>
    </row>
    <row r="816" ht="15.75" customHeight="1">
      <c r="J816" s="5"/>
      <c r="K816" s="5"/>
      <c r="L816" s="5"/>
    </row>
    <row r="817" ht="15.75" customHeight="1">
      <c r="J817" s="5"/>
      <c r="K817" s="5"/>
      <c r="L817" s="5"/>
    </row>
    <row r="818" ht="15.75" customHeight="1">
      <c r="J818" s="5"/>
      <c r="K818" s="5"/>
      <c r="L818" s="5"/>
    </row>
    <row r="819" ht="15.75" customHeight="1">
      <c r="J819" s="5"/>
      <c r="K819" s="5"/>
      <c r="L819" s="5"/>
    </row>
    <row r="820" ht="15.75" customHeight="1">
      <c r="J820" s="5"/>
      <c r="K820" s="5"/>
      <c r="L820" s="5"/>
    </row>
    <row r="821" ht="15.75" customHeight="1">
      <c r="J821" s="5"/>
      <c r="K821" s="5"/>
      <c r="L821" s="5"/>
    </row>
    <row r="822" ht="15.75" customHeight="1">
      <c r="J822" s="5"/>
      <c r="K822" s="5"/>
      <c r="L822" s="5"/>
    </row>
    <row r="823" ht="15.75" customHeight="1">
      <c r="J823" s="5"/>
      <c r="K823" s="5"/>
      <c r="L823" s="5"/>
    </row>
    <row r="824" ht="15.75" customHeight="1">
      <c r="J824" s="5"/>
      <c r="K824" s="5"/>
      <c r="L824" s="5"/>
    </row>
    <row r="825" ht="15.75" customHeight="1">
      <c r="J825" s="5"/>
      <c r="K825" s="5"/>
      <c r="L825" s="5"/>
    </row>
    <row r="826" ht="15.75" customHeight="1">
      <c r="J826" s="5"/>
      <c r="K826" s="5"/>
      <c r="L826" s="5"/>
    </row>
    <row r="827" ht="15.75" customHeight="1">
      <c r="J827" s="5"/>
      <c r="K827" s="5"/>
      <c r="L827" s="5"/>
    </row>
    <row r="828" ht="15.75" customHeight="1">
      <c r="J828" s="5"/>
      <c r="K828" s="5"/>
      <c r="L828" s="5"/>
    </row>
    <row r="829" ht="15.75" customHeight="1">
      <c r="J829" s="5"/>
      <c r="K829" s="5"/>
      <c r="L829" s="5"/>
    </row>
    <row r="830" ht="15.75" customHeight="1">
      <c r="J830" s="5"/>
      <c r="K830" s="5"/>
      <c r="L830" s="5"/>
    </row>
    <row r="831" ht="15.75" customHeight="1">
      <c r="J831" s="5"/>
      <c r="K831" s="5"/>
      <c r="L831" s="5"/>
    </row>
    <row r="832" ht="15.75" customHeight="1">
      <c r="J832" s="5"/>
      <c r="K832" s="5"/>
      <c r="L832" s="5"/>
    </row>
    <row r="833" ht="15.75" customHeight="1">
      <c r="J833" s="5"/>
      <c r="K833" s="5"/>
      <c r="L833" s="5"/>
    </row>
    <row r="834" ht="15.75" customHeight="1">
      <c r="J834" s="5"/>
      <c r="K834" s="5"/>
      <c r="L834" s="5"/>
    </row>
    <row r="835" ht="15.75" customHeight="1">
      <c r="J835" s="5"/>
      <c r="K835" s="5"/>
      <c r="L835" s="5"/>
    </row>
    <row r="836" ht="15.75" customHeight="1">
      <c r="J836" s="5"/>
      <c r="K836" s="5"/>
      <c r="L836" s="5"/>
    </row>
    <row r="837" ht="15.75" customHeight="1">
      <c r="J837" s="5"/>
      <c r="K837" s="5"/>
      <c r="L837" s="5"/>
    </row>
    <row r="838" ht="15.75" customHeight="1">
      <c r="J838" s="5"/>
      <c r="K838" s="5"/>
      <c r="L838" s="5"/>
    </row>
    <row r="839" ht="15.75" customHeight="1">
      <c r="J839" s="5"/>
      <c r="K839" s="5"/>
      <c r="L839" s="5"/>
    </row>
    <row r="840" ht="15.75" customHeight="1">
      <c r="J840" s="5"/>
      <c r="K840" s="5"/>
      <c r="L840" s="5"/>
    </row>
    <row r="841" ht="15.75" customHeight="1">
      <c r="J841" s="5"/>
      <c r="K841" s="5"/>
      <c r="L841" s="5"/>
    </row>
    <row r="842" ht="15.75" customHeight="1">
      <c r="J842" s="5"/>
      <c r="K842" s="5"/>
      <c r="L842" s="5"/>
    </row>
    <row r="843" ht="15.75" customHeight="1">
      <c r="J843" s="5"/>
      <c r="K843" s="5"/>
      <c r="L843" s="5"/>
    </row>
    <row r="844" ht="15.75" customHeight="1">
      <c r="J844" s="5"/>
      <c r="K844" s="5"/>
      <c r="L844" s="5"/>
    </row>
    <row r="845" ht="15.75" customHeight="1">
      <c r="J845" s="5"/>
      <c r="K845" s="5"/>
      <c r="L845" s="5"/>
    </row>
    <row r="846" ht="15.75" customHeight="1">
      <c r="J846" s="5"/>
      <c r="K846" s="5"/>
      <c r="L846" s="5"/>
    </row>
    <row r="847" ht="15.75" customHeight="1">
      <c r="J847" s="5"/>
      <c r="K847" s="5"/>
      <c r="L847" s="5"/>
    </row>
    <row r="848" ht="15.75" customHeight="1">
      <c r="J848" s="5"/>
      <c r="K848" s="5"/>
      <c r="L848" s="5"/>
    </row>
    <row r="849" ht="15.75" customHeight="1">
      <c r="J849" s="5"/>
      <c r="K849" s="5"/>
      <c r="L849" s="5"/>
    </row>
    <row r="850" ht="15.75" customHeight="1">
      <c r="J850" s="5"/>
      <c r="K850" s="5"/>
      <c r="L850" s="5"/>
    </row>
    <row r="851" ht="15.75" customHeight="1">
      <c r="J851" s="5"/>
      <c r="K851" s="5"/>
      <c r="L851" s="5"/>
    </row>
    <row r="852" ht="15.75" customHeight="1">
      <c r="J852" s="5"/>
      <c r="K852" s="5"/>
      <c r="L852" s="5"/>
    </row>
    <row r="853" ht="15.75" customHeight="1">
      <c r="J853" s="5"/>
      <c r="K853" s="5"/>
      <c r="L853" s="5"/>
    </row>
    <row r="854" ht="15.75" customHeight="1">
      <c r="J854" s="5"/>
      <c r="K854" s="5"/>
      <c r="L854" s="5"/>
    </row>
    <row r="855" ht="15.75" customHeight="1">
      <c r="J855" s="5"/>
      <c r="K855" s="5"/>
      <c r="L855" s="5"/>
    </row>
    <row r="856" ht="15.75" customHeight="1">
      <c r="J856" s="5"/>
      <c r="K856" s="5"/>
      <c r="L856" s="5"/>
    </row>
    <row r="857" ht="15.75" customHeight="1">
      <c r="J857" s="5"/>
      <c r="K857" s="5"/>
      <c r="L857" s="5"/>
    </row>
    <row r="858" ht="15.75" customHeight="1">
      <c r="J858" s="5"/>
      <c r="K858" s="5"/>
      <c r="L858" s="5"/>
    </row>
    <row r="859" ht="15.75" customHeight="1">
      <c r="J859" s="5"/>
      <c r="K859" s="5"/>
      <c r="L859" s="5"/>
    </row>
    <row r="860" ht="15.75" customHeight="1">
      <c r="J860" s="5"/>
      <c r="K860" s="5"/>
      <c r="L860" s="5"/>
    </row>
    <row r="861" ht="15.75" customHeight="1">
      <c r="J861" s="5"/>
      <c r="K861" s="5"/>
      <c r="L861" s="5"/>
    </row>
    <row r="862" ht="15.75" customHeight="1">
      <c r="J862" s="5"/>
      <c r="K862" s="5"/>
      <c r="L862" s="5"/>
    </row>
    <row r="863" ht="15.75" customHeight="1">
      <c r="J863" s="5"/>
      <c r="K863" s="5"/>
      <c r="L863" s="5"/>
    </row>
    <row r="864" ht="15.75" customHeight="1">
      <c r="J864" s="5"/>
      <c r="K864" s="5"/>
      <c r="L864" s="5"/>
    </row>
    <row r="865" ht="15.75" customHeight="1">
      <c r="J865" s="5"/>
      <c r="K865" s="5"/>
      <c r="L865" s="5"/>
    </row>
    <row r="866" ht="15.75" customHeight="1">
      <c r="J866" s="5"/>
      <c r="K866" s="5"/>
      <c r="L866" s="5"/>
    </row>
    <row r="867" ht="15.75" customHeight="1">
      <c r="J867" s="5"/>
      <c r="K867" s="5"/>
      <c r="L867" s="5"/>
    </row>
    <row r="868" ht="15.75" customHeight="1">
      <c r="J868" s="5"/>
      <c r="K868" s="5"/>
      <c r="L868" s="5"/>
    </row>
    <row r="869" ht="15.75" customHeight="1">
      <c r="J869" s="5"/>
      <c r="K869" s="5"/>
      <c r="L869" s="5"/>
    </row>
    <row r="870" ht="15.75" customHeight="1">
      <c r="J870" s="5"/>
      <c r="K870" s="5"/>
      <c r="L870" s="5"/>
    </row>
    <row r="871" ht="15.75" customHeight="1">
      <c r="J871" s="5"/>
      <c r="K871" s="5"/>
      <c r="L871" s="5"/>
    </row>
    <row r="872" ht="15.75" customHeight="1">
      <c r="J872" s="5"/>
      <c r="K872" s="5"/>
      <c r="L872" s="5"/>
    </row>
    <row r="873" ht="15.75" customHeight="1">
      <c r="J873" s="5"/>
      <c r="K873" s="5"/>
      <c r="L873" s="5"/>
    </row>
    <row r="874" ht="15.75" customHeight="1">
      <c r="J874" s="5"/>
      <c r="K874" s="5"/>
      <c r="L874" s="5"/>
    </row>
    <row r="875" ht="15.75" customHeight="1">
      <c r="J875" s="5"/>
      <c r="K875" s="5"/>
      <c r="L875" s="5"/>
    </row>
    <row r="876" ht="15.75" customHeight="1">
      <c r="J876" s="5"/>
      <c r="K876" s="5"/>
      <c r="L876" s="5"/>
    </row>
    <row r="877" ht="15.75" customHeight="1">
      <c r="J877" s="5"/>
      <c r="K877" s="5"/>
      <c r="L877" s="5"/>
    </row>
    <row r="878" ht="15.75" customHeight="1">
      <c r="J878" s="5"/>
      <c r="K878" s="5"/>
      <c r="L878" s="5"/>
    </row>
    <row r="879" ht="15.75" customHeight="1">
      <c r="J879" s="5"/>
      <c r="K879" s="5"/>
      <c r="L879" s="5"/>
    </row>
    <row r="880" ht="15.75" customHeight="1">
      <c r="J880" s="5"/>
      <c r="K880" s="5"/>
      <c r="L880" s="5"/>
    </row>
    <row r="881" ht="15.75" customHeight="1">
      <c r="J881" s="5"/>
      <c r="K881" s="5"/>
      <c r="L881" s="5"/>
    </row>
    <row r="882" ht="15.75" customHeight="1">
      <c r="J882" s="5"/>
      <c r="K882" s="5"/>
      <c r="L882" s="5"/>
    </row>
    <row r="883" ht="15.75" customHeight="1">
      <c r="J883" s="5"/>
      <c r="K883" s="5"/>
      <c r="L883" s="5"/>
    </row>
    <row r="884" ht="15.75" customHeight="1">
      <c r="J884" s="5"/>
      <c r="K884" s="5"/>
      <c r="L884" s="5"/>
    </row>
    <row r="885" ht="15.75" customHeight="1">
      <c r="J885" s="5"/>
      <c r="K885" s="5"/>
      <c r="L885" s="5"/>
    </row>
    <row r="886" ht="15.75" customHeight="1">
      <c r="J886" s="5"/>
      <c r="K886" s="5"/>
      <c r="L886" s="5"/>
    </row>
    <row r="887" ht="15.75" customHeight="1">
      <c r="J887" s="5"/>
      <c r="K887" s="5"/>
      <c r="L887" s="5"/>
    </row>
    <row r="888" ht="15.75" customHeight="1">
      <c r="J888" s="5"/>
      <c r="K888" s="5"/>
      <c r="L888" s="5"/>
    </row>
    <row r="889" ht="15.75" customHeight="1">
      <c r="J889" s="5"/>
      <c r="K889" s="5"/>
      <c r="L889" s="5"/>
    </row>
    <row r="890" ht="15.75" customHeight="1">
      <c r="J890" s="5"/>
      <c r="K890" s="5"/>
      <c r="L890" s="5"/>
    </row>
    <row r="891" ht="15.75" customHeight="1">
      <c r="J891" s="5"/>
      <c r="K891" s="5"/>
      <c r="L891" s="5"/>
    </row>
    <row r="892" ht="15.75" customHeight="1">
      <c r="J892" s="5"/>
      <c r="K892" s="5"/>
      <c r="L892" s="5"/>
    </row>
    <row r="893" ht="15.75" customHeight="1">
      <c r="J893" s="5"/>
      <c r="K893" s="5"/>
      <c r="L893" s="5"/>
    </row>
    <row r="894" ht="15.75" customHeight="1">
      <c r="J894" s="5"/>
      <c r="K894" s="5"/>
      <c r="L894" s="5"/>
    </row>
    <row r="895" ht="15.75" customHeight="1">
      <c r="J895" s="5"/>
      <c r="K895" s="5"/>
      <c r="L895" s="5"/>
    </row>
    <row r="896" ht="15.75" customHeight="1">
      <c r="J896" s="5"/>
      <c r="K896" s="5"/>
      <c r="L896" s="5"/>
    </row>
    <row r="897" ht="15.75" customHeight="1">
      <c r="J897" s="5"/>
      <c r="K897" s="5"/>
      <c r="L897" s="5"/>
    </row>
    <row r="898" ht="15.75" customHeight="1">
      <c r="J898" s="5"/>
      <c r="K898" s="5"/>
      <c r="L898" s="5"/>
    </row>
    <row r="899" ht="15.75" customHeight="1">
      <c r="J899" s="5"/>
      <c r="K899" s="5"/>
      <c r="L899" s="5"/>
    </row>
    <row r="900" ht="15.75" customHeight="1">
      <c r="J900" s="5"/>
      <c r="K900" s="5"/>
      <c r="L900" s="5"/>
    </row>
    <row r="901" ht="15.75" customHeight="1">
      <c r="J901" s="5"/>
      <c r="K901" s="5"/>
      <c r="L901" s="5"/>
    </row>
    <row r="902" ht="15.75" customHeight="1">
      <c r="J902" s="5"/>
      <c r="K902" s="5"/>
      <c r="L902" s="5"/>
    </row>
    <row r="903" ht="15.75" customHeight="1">
      <c r="J903" s="5"/>
      <c r="K903" s="5"/>
      <c r="L903" s="5"/>
    </row>
    <row r="904" ht="15.75" customHeight="1">
      <c r="J904" s="5"/>
      <c r="K904" s="5"/>
      <c r="L904" s="5"/>
    </row>
    <row r="905" ht="15.75" customHeight="1">
      <c r="J905" s="5"/>
      <c r="K905" s="5"/>
      <c r="L905" s="5"/>
    </row>
    <row r="906" ht="15.75" customHeight="1">
      <c r="J906" s="5"/>
      <c r="K906" s="5"/>
      <c r="L906" s="5"/>
    </row>
    <row r="907" ht="15.75" customHeight="1">
      <c r="J907" s="5"/>
      <c r="K907" s="5"/>
      <c r="L907" s="5"/>
    </row>
    <row r="908" ht="15.75" customHeight="1">
      <c r="J908" s="5"/>
      <c r="K908" s="5"/>
      <c r="L908" s="5"/>
    </row>
    <row r="909" ht="15.75" customHeight="1">
      <c r="J909" s="5"/>
      <c r="K909" s="5"/>
      <c r="L909" s="5"/>
    </row>
    <row r="910" ht="15.75" customHeight="1">
      <c r="J910" s="5"/>
      <c r="K910" s="5"/>
      <c r="L910" s="5"/>
    </row>
    <row r="911" ht="15.75" customHeight="1">
      <c r="J911" s="5"/>
      <c r="K911" s="5"/>
      <c r="L911" s="5"/>
    </row>
    <row r="912" ht="15.75" customHeight="1">
      <c r="J912" s="5"/>
      <c r="K912" s="5"/>
      <c r="L912" s="5"/>
    </row>
    <row r="913" ht="15.75" customHeight="1">
      <c r="J913" s="5"/>
      <c r="K913" s="5"/>
      <c r="L913" s="5"/>
    </row>
    <row r="914" ht="15.75" customHeight="1">
      <c r="J914" s="5"/>
      <c r="K914" s="5"/>
      <c r="L914" s="5"/>
    </row>
    <row r="915" ht="15.75" customHeight="1">
      <c r="J915" s="5"/>
      <c r="K915" s="5"/>
      <c r="L915" s="5"/>
    </row>
    <row r="916" ht="15.75" customHeight="1">
      <c r="J916" s="5"/>
      <c r="K916" s="5"/>
      <c r="L916" s="5"/>
    </row>
    <row r="917" ht="15.75" customHeight="1">
      <c r="J917" s="5"/>
      <c r="K917" s="5"/>
      <c r="L917" s="5"/>
    </row>
    <row r="918" ht="15.75" customHeight="1">
      <c r="J918" s="5"/>
      <c r="K918" s="5"/>
      <c r="L918" s="5"/>
    </row>
    <row r="919" ht="15.75" customHeight="1">
      <c r="J919" s="5"/>
      <c r="K919" s="5"/>
      <c r="L919" s="5"/>
    </row>
    <row r="920" ht="15.75" customHeight="1">
      <c r="J920" s="5"/>
      <c r="K920" s="5"/>
      <c r="L920" s="5"/>
    </row>
    <row r="921" ht="15.75" customHeight="1">
      <c r="J921" s="5"/>
      <c r="K921" s="5"/>
      <c r="L921" s="5"/>
    </row>
    <row r="922" ht="15.75" customHeight="1">
      <c r="J922" s="5"/>
      <c r="K922" s="5"/>
      <c r="L922" s="5"/>
    </row>
    <row r="923" ht="15.75" customHeight="1">
      <c r="J923" s="5"/>
      <c r="K923" s="5"/>
      <c r="L923" s="5"/>
    </row>
    <row r="924" ht="15.75" customHeight="1">
      <c r="J924" s="5"/>
      <c r="K924" s="5"/>
      <c r="L924" s="5"/>
    </row>
    <row r="925" ht="15.75" customHeight="1">
      <c r="J925" s="5"/>
      <c r="K925" s="5"/>
      <c r="L925" s="5"/>
    </row>
    <row r="926" ht="15.75" customHeight="1">
      <c r="J926" s="5"/>
      <c r="K926" s="5"/>
      <c r="L926" s="5"/>
    </row>
    <row r="927" ht="15.75" customHeight="1">
      <c r="J927" s="5"/>
      <c r="K927" s="5"/>
      <c r="L927" s="5"/>
    </row>
    <row r="928" ht="15.75" customHeight="1">
      <c r="J928" s="5"/>
      <c r="K928" s="5"/>
      <c r="L928" s="5"/>
    </row>
    <row r="929" ht="15.75" customHeight="1">
      <c r="J929" s="5"/>
      <c r="K929" s="5"/>
      <c r="L929" s="5"/>
    </row>
    <row r="930" ht="15.75" customHeight="1">
      <c r="J930" s="5"/>
      <c r="K930" s="5"/>
      <c r="L930" s="5"/>
    </row>
    <row r="931" ht="15.75" customHeight="1">
      <c r="J931" s="5"/>
      <c r="K931" s="5"/>
      <c r="L931" s="5"/>
    </row>
    <row r="932" ht="15.75" customHeight="1">
      <c r="J932" s="5"/>
      <c r="K932" s="5"/>
      <c r="L932" s="5"/>
    </row>
    <row r="933" ht="15.75" customHeight="1">
      <c r="J933" s="5"/>
      <c r="K933" s="5"/>
      <c r="L933" s="5"/>
    </row>
    <row r="934" ht="15.75" customHeight="1">
      <c r="J934" s="5"/>
      <c r="K934" s="5"/>
      <c r="L934" s="5"/>
    </row>
    <row r="935" ht="15.75" customHeight="1">
      <c r="J935" s="5"/>
      <c r="K935" s="5"/>
      <c r="L935" s="5"/>
    </row>
    <row r="936" ht="15.75" customHeight="1">
      <c r="J936" s="5"/>
      <c r="K936" s="5"/>
      <c r="L936" s="5"/>
    </row>
    <row r="937" ht="15.75" customHeight="1">
      <c r="J937" s="5"/>
      <c r="K937" s="5"/>
      <c r="L937" s="5"/>
    </row>
    <row r="938" ht="15.75" customHeight="1">
      <c r="J938" s="5"/>
      <c r="K938" s="5"/>
      <c r="L938" s="5"/>
    </row>
    <row r="939" ht="15.75" customHeight="1">
      <c r="J939" s="5"/>
      <c r="K939" s="5"/>
      <c r="L939" s="5"/>
    </row>
    <row r="940" ht="15.75" customHeight="1">
      <c r="J940" s="5"/>
      <c r="K940" s="5"/>
      <c r="L940" s="5"/>
    </row>
    <row r="941" ht="15.75" customHeight="1">
      <c r="J941" s="5"/>
      <c r="K941" s="5"/>
      <c r="L941" s="5"/>
    </row>
    <row r="942" ht="15.75" customHeight="1">
      <c r="J942" s="5"/>
      <c r="K942" s="5"/>
      <c r="L942" s="5"/>
    </row>
    <row r="943" ht="15.75" customHeight="1">
      <c r="J943" s="5"/>
      <c r="K943" s="5"/>
      <c r="L943" s="5"/>
    </row>
    <row r="944" ht="15.75" customHeight="1">
      <c r="J944" s="5"/>
      <c r="K944" s="5"/>
      <c r="L944" s="5"/>
    </row>
    <row r="945" ht="15.75" customHeight="1">
      <c r="J945" s="5"/>
      <c r="K945" s="5"/>
      <c r="L945" s="5"/>
    </row>
    <row r="946" ht="15.75" customHeight="1">
      <c r="J946" s="5"/>
      <c r="K946" s="5"/>
      <c r="L946" s="5"/>
    </row>
    <row r="947" ht="15.75" customHeight="1">
      <c r="J947" s="5"/>
      <c r="K947" s="5"/>
      <c r="L947" s="5"/>
    </row>
    <row r="948" ht="15.75" customHeight="1">
      <c r="J948" s="5"/>
      <c r="K948" s="5"/>
      <c r="L948" s="5"/>
    </row>
    <row r="949" ht="15.75" customHeight="1">
      <c r="J949" s="5"/>
      <c r="K949" s="5"/>
      <c r="L949" s="5"/>
    </row>
    <row r="950" ht="15.75" customHeight="1">
      <c r="J950" s="5"/>
      <c r="K950" s="5"/>
      <c r="L950" s="5"/>
    </row>
    <row r="951" ht="15.75" customHeight="1">
      <c r="J951" s="5"/>
      <c r="K951" s="5"/>
      <c r="L951" s="5"/>
    </row>
    <row r="952" ht="15.75" customHeight="1">
      <c r="J952" s="5"/>
      <c r="K952" s="5"/>
      <c r="L952" s="5"/>
    </row>
    <row r="953" ht="15.75" customHeight="1">
      <c r="J953" s="5"/>
      <c r="K953" s="5"/>
      <c r="L953" s="5"/>
    </row>
    <row r="954" ht="15.75" customHeight="1">
      <c r="J954" s="5"/>
      <c r="K954" s="5"/>
      <c r="L954" s="5"/>
    </row>
    <row r="955" ht="15.75" customHeight="1">
      <c r="J955" s="5"/>
      <c r="K955" s="5"/>
      <c r="L955" s="5"/>
    </row>
    <row r="956" ht="15.75" customHeight="1">
      <c r="J956" s="5"/>
      <c r="K956" s="5"/>
      <c r="L956" s="5"/>
    </row>
    <row r="957" ht="15.75" customHeight="1">
      <c r="J957" s="5"/>
      <c r="K957" s="5"/>
      <c r="L957" s="5"/>
    </row>
    <row r="958" ht="15.75" customHeight="1">
      <c r="J958" s="5"/>
      <c r="K958" s="5"/>
      <c r="L958" s="5"/>
    </row>
    <row r="959" ht="15.75" customHeight="1">
      <c r="J959" s="5"/>
      <c r="K959" s="5"/>
      <c r="L959" s="5"/>
    </row>
    <row r="960" ht="15.75" customHeight="1">
      <c r="J960" s="5"/>
      <c r="K960" s="5"/>
      <c r="L960" s="5"/>
    </row>
    <row r="961" ht="15.75" customHeight="1">
      <c r="J961" s="5"/>
      <c r="K961" s="5"/>
      <c r="L961" s="5"/>
    </row>
    <row r="962" ht="15.75" customHeight="1">
      <c r="J962" s="5"/>
      <c r="K962" s="5"/>
      <c r="L962" s="5"/>
    </row>
    <row r="963" ht="15.75" customHeight="1">
      <c r="J963" s="5"/>
      <c r="K963" s="5"/>
      <c r="L963" s="5"/>
    </row>
    <row r="964" ht="15.75" customHeight="1">
      <c r="J964" s="5"/>
      <c r="K964" s="5"/>
      <c r="L964" s="5"/>
    </row>
    <row r="965" ht="15.75" customHeight="1">
      <c r="J965" s="5"/>
      <c r="K965" s="5"/>
      <c r="L965" s="5"/>
    </row>
    <row r="966" ht="15.75" customHeight="1">
      <c r="J966" s="5"/>
      <c r="K966" s="5"/>
      <c r="L966" s="5"/>
    </row>
    <row r="967" ht="15.75" customHeight="1">
      <c r="J967" s="5"/>
      <c r="K967" s="5"/>
      <c r="L967" s="5"/>
    </row>
    <row r="968" ht="15.75" customHeight="1">
      <c r="J968" s="5"/>
      <c r="K968" s="5"/>
      <c r="L968" s="5"/>
    </row>
    <row r="969" ht="15.75" customHeight="1">
      <c r="J969" s="5"/>
      <c r="K969" s="5"/>
      <c r="L969" s="5"/>
    </row>
    <row r="970" ht="15.75" customHeight="1">
      <c r="J970" s="5"/>
      <c r="K970" s="5"/>
      <c r="L970" s="5"/>
    </row>
    <row r="971" ht="15.75" customHeight="1">
      <c r="J971" s="5"/>
      <c r="K971" s="5"/>
      <c r="L971" s="5"/>
    </row>
    <row r="972" ht="15.75" customHeight="1">
      <c r="J972" s="5"/>
      <c r="K972" s="5"/>
      <c r="L972" s="5"/>
    </row>
    <row r="973" ht="15.75" customHeight="1">
      <c r="J973" s="5"/>
      <c r="K973" s="5"/>
      <c r="L973" s="5"/>
    </row>
    <row r="974" ht="15.75" customHeight="1">
      <c r="J974" s="5"/>
      <c r="K974" s="5"/>
      <c r="L974" s="5"/>
    </row>
    <row r="975" ht="15.75" customHeight="1">
      <c r="J975" s="5"/>
      <c r="K975" s="5"/>
      <c r="L975" s="5"/>
    </row>
    <row r="976" ht="15.75" customHeight="1">
      <c r="J976" s="5"/>
      <c r="K976" s="5"/>
      <c r="L976" s="5"/>
    </row>
    <row r="977" ht="15.75" customHeight="1">
      <c r="J977" s="5"/>
      <c r="K977" s="5"/>
      <c r="L977" s="5"/>
    </row>
    <row r="978" ht="15.75" customHeight="1">
      <c r="J978" s="5"/>
      <c r="K978" s="5"/>
      <c r="L978" s="5"/>
    </row>
    <row r="979" ht="15.75" customHeight="1">
      <c r="J979" s="5"/>
      <c r="K979" s="5"/>
      <c r="L979" s="5"/>
    </row>
    <row r="980" ht="15.75" customHeight="1">
      <c r="J980" s="5"/>
      <c r="K980" s="5"/>
      <c r="L980" s="5"/>
    </row>
    <row r="981" ht="15.75" customHeight="1">
      <c r="J981" s="5"/>
      <c r="K981" s="5"/>
      <c r="L981" s="5"/>
    </row>
    <row r="982" ht="15.75" customHeight="1">
      <c r="J982" s="5"/>
      <c r="K982" s="5"/>
      <c r="L982" s="5"/>
    </row>
    <row r="983" ht="15.75" customHeight="1">
      <c r="J983" s="5"/>
      <c r="K983" s="5"/>
      <c r="L983" s="5"/>
    </row>
    <row r="984" ht="15.75" customHeight="1">
      <c r="J984" s="5"/>
      <c r="K984" s="5"/>
      <c r="L984" s="5"/>
    </row>
    <row r="985" ht="15.75" customHeight="1">
      <c r="J985" s="5"/>
      <c r="K985" s="5"/>
      <c r="L985" s="5"/>
    </row>
    <row r="986" ht="15.75" customHeight="1">
      <c r="J986" s="5"/>
      <c r="K986" s="5"/>
      <c r="L986" s="5"/>
    </row>
    <row r="987" ht="15.75" customHeight="1">
      <c r="J987" s="5"/>
      <c r="K987" s="5"/>
      <c r="L987" s="5"/>
    </row>
    <row r="988" ht="15.75" customHeight="1">
      <c r="J988" s="5"/>
      <c r="K988" s="5"/>
      <c r="L988" s="5"/>
    </row>
    <row r="989" ht="15.75" customHeight="1">
      <c r="J989" s="5"/>
      <c r="K989" s="5"/>
      <c r="L989" s="5"/>
    </row>
    <row r="990" ht="15.75" customHeight="1">
      <c r="J990" s="5"/>
      <c r="K990" s="5"/>
      <c r="L990" s="5"/>
    </row>
    <row r="991" ht="15.75" customHeight="1">
      <c r="J991" s="5"/>
      <c r="K991" s="5"/>
      <c r="L991" s="5"/>
    </row>
    <row r="992" ht="15.75" customHeight="1">
      <c r="J992" s="5"/>
      <c r="K992" s="5"/>
      <c r="L992" s="5"/>
    </row>
    <row r="993" ht="15.75" customHeight="1">
      <c r="J993" s="5"/>
      <c r="K993" s="5"/>
      <c r="L993" s="5"/>
    </row>
    <row r="994" ht="15.75" customHeight="1">
      <c r="J994" s="5"/>
      <c r="K994" s="5"/>
      <c r="L994" s="5"/>
    </row>
    <row r="995" ht="15.75" customHeight="1">
      <c r="J995" s="5"/>
      <c r="K995" s="5"/>
      <c r="L995" s="5"/>
    </row>
    <row r="996" ht="15.75" customHeight="1">
      <c r="J996" s="5"/>
      <c r="K996" s="5"/>
      <c r="L996" s="5"/>
    </row>
    <row r="997" ht="15.75" customHeight="1">
      <c r="J997" s="5"/>
      <c r="K997" s="5"/>
      <c r="L997" s="5"/>
    </row>
    <row r="998" ht="15.75" customHeight="1">
      <c r="J998" s="5"/>
      <c r="K998" s="5"/>
      <c r="L998" s="5"/>
    </row>
    <row r="999" ht="15.75" customHeight="1">
      <c r="J999" s="5"/>
      <c r="K999" s="5"/>
      <c r="L999" s="5"/>
    </row>
    <row r="1000" ht="15.75" customHeight="1">
      <c r="J1000" s="5"/>
      <c r="K1000" s="5"/>
      <c r="L1000" s="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13"/>
    <col customWidth="1" min="2" max="6" width="12.63"/>
  </cols>
  <sheetData>
    <row r="1" ht="15.75" customHeight="1">
      <c r="A1" s="25" t="s">
        <v>25</v>
      </c>
      <c r="B1" s="1" t="s">
        <v>26</v>
      </c>
      <c r="C1" s="1" t="s">
        <v>27</v>
      </c>
      <c r="D1" s="6" t="s">
        <v>28</v>
      </c>
      <c r="E1" s="1" t="s">
        <v>29</v>
      </c>
      <c r="F1" s="16" t="s">
        <v>30</v>
      </c>
      <c r="G1" s="17" t="s">
        <v>31</v>
      </c>
      <c r="H1" s="1" t="s">
        <v>32</v>
      </c>
      <c r="I1" s="1" t="s">
        <v>75</v>
      </c>
      <c r="J1" s="18" t="s">
        <v>33</v>
      </c>
      <c r="K1" s="18" t="s">
        <v>34</v>
      </c>
      <c r="L1" s="18" t="s">
        <v>35</v>
      </c>
      <c r="M1" s="4" t="s">
        <v>36</v>
      </c>
      <c r="N1" s="4" t="s">
        <v>37</v>
      </c>
      <c r="O1" s="4" t="s">
        <v>38</v>
      </c>
    </row>
    <row r="2" ht="30.0" customHeight="1">
      <c r="A2" s="25"/>
      <c r="B2" s="6">
        <v>7.0</v>
      </c>
      <c r="C2" s="1" t="s">
        <v>76</v>
      </c>
      <c r="D2" s="6" t="s">
        <v>77</v>
      </c>
      <c r="E2" s="1" t="s">
        <v>41</v>
      </c>
      <c r="F2" s="16">
        <v>22.4</v>
      </c>
      <c r="G2" s="17">
        <f>F2*Suppliers!$I$1</f>
        <v>16.863952</v>
      </c>
      <c r="H2" s="6">
        <v>10.0</v>
      </c>
      <c r="I2" s="17">
        <f t="shared" ref="I2:I9" si="1">G2*H2</f>
        <v>168.63952</v>
      </c>
      <c r="J2" s="18">
        <f>Suppliers!$B$21</f>
        <v>1.865586224</v>
      </c>
      <c r="K2" s="18">
        <v>0.52</v>
      </c>
      <c r="L2" s="18">
        <v>3.78</v>
      </c>
      <c r="M2" s="19">
        <f t="shared" ref="M2:M9" si="2">SUM(G2+J2+K2+L2)</f>
        <v>23.02953822</v>
      </c>
      <c r="N2" s="4">
        <v>55.99</v>
      </c>
      <c r="O2" s="20">
        <f t="shared" ref="O2:O9" si="3">(N2-M2)/N2</f>
        <v>0.5886847969</v>
      </c>
    </row>
    <row r="3" ht="30.0" customHeight="1">
      <c r="A3" s="25"/>
      <c r="B3" s="6">
        <v>7.0</v>
      </c>
      <c r="C3" s="1" t="s">
        <v>78</v>
      </c>
      <c r="D3" s="4" t="s">
        <v>79</v>
      </c>
      <c r="E3" s="1" t="s">
        <v>41</v>
      </c>
      <c r="F3" s="16">
        <v>22.4</v>
      </c>
      <c r="G3" s="17">
        <f>F3*Suppliers!$I$1</f>
        <v>16.863952</v>
      </c>
      <c r="H3" s="6">
        <v>10.0</v>
      </c>
      <c r="I3" s="17">
        <f t="shared" si="1"/>
        <v>168.63952</v>
      </c>
      <c r="J3" s="18">
        <f>Suppliers!$B$21</f>
        <v>1.865586224</v>
      </c>
      <c r="K3" s="18">
        <v>0.52</v>
      </c>
      <c r="L3" s="18">
        <v>3.78</v>
      </c>
      <c r="M3" s="19">
        <f t="shared" si="2"/>
        <v>23.02953822</v>
      </c>
      <c r="N3" s="4">
        <v>55.99</v>
      </c>
      <c r="O3" s="20">
        <f t="shared" si="3"/>
        <v>0.5886847969</v>
      </c>
    </row>
    <row r="4" ht="30.0" customHeight="1">
      <c r="A4" s="25"/>
      <c r="B4" s="6">
        <v>7.0</v>
      </c>
      <c r="C4" s="22" t="s">
        <v>80</v>
      </c>
      <c r="D4" s="4" t="s">
        <v>81</v>
      </c>
      <c r="E4" s="1" t="s">
        <v>41</v>
      </c>
      <c r="F4" s="16">
        <v>23.4</v>
      </c>
      <c r="G4" s="17">
        <f>F4*Suppliers!$I$1</f>
        <v>17.616807</v>
      </c>
      <c r="H4" s="6">
        <v>10.0</v>
      </c>
      <c r="I4" s="17">
        <f t="shared" si="1"/>
        <v>176.16807</v>
      </c>
      <c r="J4" s="18">
        <f>Suppliers!$B$21</f>
        <v>1.865586224</v>
      </c>
      <c r="K4" s="18">
        <v>0.52</v>
      </c>
      <c r="L4" s="18">
        <v>3.78</v>
      </c>
      <c r="M4" s="19">
        <f t="shared" si="2"/>
        <v>23.78239322</v>
      </c>
      <c r="N4" s="4">
        <v>56.99</v>
      </c>
      <c r="O4" s="20">
        <f t="shared" si="3"/>
        <v>0.5826918192</v>
      </c>
    </row>
    <row r="5" ht="30.0" customHeight="1">
      <c r="A5" s="25"/>
      <c r="B5" s="6">
        <v>5.0</v>
      </c>
      <c r="C5" s="1" t="s">
        <v>82</v>
      </c>
      <c r="D5" s="4" t="s">
        <v>83</v>
      </c>
      <c r="E5" s="1" t="s">
        <v>50</v>
      </c>
      <c r="F5" s="16">
        <v>16.1</v>
      </c>
      <c r="G5" s="17">
        <f>F5*Suppliers!$I$1</f>
        <v>12.1209655</v>
      </c>
      <c r="H5" s="6">
        <v>10.0</v>
      </c>
      <c r="I5" s="17">
        <f t="shared" si="1"/>
        <v>121.209655</v>
      </c>
      <c r="J5" s="18">
        <f>Suppliers!$B$21</f>
        <v>1.865586224</v>
      </c>
      <c r="K5" s="18">
        <v>0.52</v>
      </c>
      <c r="L5" s="18">
        <v>3.78</v>
      </c>
      <c r="M5" s="19">
        <f t="shared" si="2"/>
        <v>18.28655172</v>
      </c>
      <c r="N5" s="4">
        <v>49.99</v>
      </c>
      <c r="O5" s="20">
        <f t="shared" si="3"/>
        <v>0.6341958047</v>
      </c>
    </row>
    <row r="6" ht="30.0" customHeight="1">
      <c r="A6" s="25"/>
      <c r="B6" s="6">
        <v>7.5</v>
      </c>
      <c r="C6" s="1" t="s">
        <v>84</v>
      </c>
      <c r="D6" s="4" t="s">
        <v>52</v>
      </c>
      <c r="E6" s="1" t="s">
        <v>50</v>
      </c>
      <c r="F6" s="16">
        <v>11.68</v>
      </c>
      <c r="G6" s="17">
        <f>F6*Suppliers!$I$1</f>
        <v>8.7933464</v>
      </c>
      <c r="H6" s="6">
        <v>10.0</v>
      </c>
      <c r="I6" s="17">
        <f t="shared" si="1"/>
        <v>87.933464</v>
      </c>
      <c r="J6" s="18">
        <f>Suppliers!$B$21</f>
        <v>1.865586224</v>
      </c>
      <c r="K6" s="18">
        <v>0.52</v>
      </c>
      <c r="L6" s="18">
        <v>3.78</v>
      </c>
      <c r="M6" s="19">
        <f t="shared" si="2"/>
        <v>14.95893262</v>
      </c>
      <c r="N6" s="4">
        <v>44.99</v>
      </c>
      <c r="O6" s="20">
        <f t="shared" si="3"/>
        <v>0.6675053873</v>
      </c>
    </row>
    <row r="7" ht="30.0" customHeight="1">
      <c r="A7" s="25"/>
      <c r="B7" s="1">
        <v>7.0</v>
      </c>
      <c r="C7" s="1" t="s">
        <v>85</v>
      </c>
      <c r="D7" s="4" t="s">
        <v>52</v>
      </c>
      <c r="E7" s="1" t="s">
        <v>55</v>
      </c>
      <c r="F7" s="16">
        <v>9.66</v>
      </c>
      <c r="G7" s="17">
        <f>F7*Suppliers!$I$1</f>
        <v>7.2725793</v>
      </c>
      <c r="H7" s="6">
        <v>10.0</v>
      </c>
      <c r="I7" s="17">
        <f t="shared" si="1"/>
        <v>72.725793</v>
      </c>
      <c r="J7" s="18">
        <f>Suppliers!$B$21</f>
        <v>1.865586224</v>
      </c>
      <c r="K7" s="18">
        <v>0.52</v>
      </c>
      <c r="L7" s="18">
        <v>3.78</v>
      </c>
      <c r="M7" s="19">
        <f t="shared" si="2"/>
        <v>13.43816552</v>
      </c>
      <c r="N7" s="4">
        <v>39.99</v>
      </c>
      <c r="O7" s="20">
        <f t="shared" si="3"/>
        <v>0.6639618524</v>
      </c>
    </row>
    <row r="8" ht="30.0" customHeight="1">
      <c r="A8" s="25"/>
      <c r="B8" s="1">
        <v>6.5</v>
      </c>
      <c r="C8" s="6" t="s">
        <v>86</v>
      </c>
      <c r="D8" s="4" t="s">
        <v>58</v>
      </c>
      <c r="E8" s="1" t="s">
        <v>55</v>
      </c>
      <c r="F8" s="16">
        <v>4.0</v>
      </c>
      <c r="G8" s="17">
        <f>F8*Suppliers!$I$1</f>
        <v>3.01142</v>
      </c>
      <c r="H8" s="6">
        <v>10.0</v>
      </c>
      <c r="I8" s="17">
        <f t="shared" si="1"/>
        <v>30.1142</v>
      </c>
      <c r="J8" s="18">
        <f>Suppliers!$B$21</f>
        <v>1.865586224</v>
      </c>
      <c r="K8" s="18">
        <v>0.52</v>
      </c>
      <c r="L8" s="18">
        <v>3.78</v>
      </c>
      <c r="M8" s="19">
        <f t="shared" si="2"/>
        <v>9.177006224</v>
      </c>
      <c r="N8" s="4">
        <v>39.99</v>
      </c>
      <c r="O8" s="20">
        <f t="shared" si="3"/>
        <v>0.7705174738</v>
      </c>
    </row>
    <row r="9" ht="30.0" customHeight="1">
      <c r="A9" s="25"/>
      <c r="B9" s="1">
        <v>7.0</v>
      </c>
      <c r="C9" s="22" t="s">
        <v>87</v>
      </c>
      <c r="D9" s="4" t="s">
        <v>58</v>
      </c>
      <c r="E9" s="1" t="s">
        <v>88</v>
      </c>
      <c r="F9" s="16">
        <v>21.43</v>
      </c>
      <c r="G9" s="17">
        <f>F9*Suppliers!$I$1</f>
        <v>16.13368265</v>
      </c>
      <c r="H9" s="6">
        <v>10.0</v>
      </c>
      <c r="I9" s="17">
        <f t="shared" si="1"/>
        <v>161.3368265</v>
      </c>
      <c r="J9" s="18">
        <f>Suppliers!$B$21</f>
        <v>1.865586224</v>
      </c>
      <c r="K9" s="18">
        <v>0.52</v>
      </c>
      <c r="L9" s="18">
        <v>3.78</v>
      </c>
      <c r="M9" s="19">
        <f t="shared" si="2"/>
        <v>22.29926887</v>
      </c>
      <c r="N9" s="4">
        <v>55.99</v>
      </c>
      <c r="O9" s="20">
        <f t="shared" si="3"/>
        <v>0.60172765</v>
      </c>
    </row>
    <row r="10" ht="30.0" customHeight="1">
      <c r="A10" s="25"/>
      <c r="F10" s="16"/>
      <c r="G10" s="1" t="s">
        <v>0</v>
      </c>
      <c r="H10" s="1">
        <f t="shared" ref="H10:I10" si="4">SUM(H2:H9)</f>
        <v>80</v>
      </c>
      <c r="I10" s="17">
        <f t="shared" si="4"/>
        <v>986.7670485</v>
      </c>
      <c r="J10" s="18"/>
      <c r="K10" s="18"/>
      <c r="L10" s="18"/>
      <c r="M10" s="19"/>
    </row>
    <row r="11" ht="30.0" customHeight="1">
      <c r="A11" s="25"/>
      <c r="F11" s="16"/>
      <c r="G11" s="17"/>
      <c r="J11" s="18"/>
      <c r="K11" s="18"/>
      <c r="L11" s="18"/>
      <c r="M11" s="19"/>
    </row>
    <row r="12" ht="30.0" customHeight="1">
      <c r="A12" s="25"/>
      <c r="B12" s="4">
        <v>7.0</v>
      </c>
      <c r="C12" s="4" t="s">
        <v>89</v>
      </c>
      <c r="D12" s="4" t="s">
        <v>68</v>
      </c>
      <c r="E12" s="4" t="s">
        <v>41</v>
      </c>
      <c r="F12" s="23">
        <v>20.58</v>
      </c>
      <c r="G12" s="17"/>
      <c r="J12" s="18"/>
      <c r="K12" s="18"/>
      <c r="L12" s="18"/>
      <c r="M12" s="19"/>
    </row>
    <row r="13" ht="30.0" customHeight="1">
      <c r="A13" s="25"/>
      <c r="B13" s="4">
        <v>7.0</v>
      </c>
      <c r="C13" s="4" t="s">
        <v>90</v>
      </c>
      <c r="D13" s="4" t="s">
        <v>43</v>
      </c>
      <c r="E13" s="4" t="s">
        <v>41</v>
      </c>
      <c r="F13" s="23">
        <v>21.42</v>
      </c>
      <c r="G13" s="17"/>
      <c r="J13" s="18"/>
      <c r="K13" s="18"/>
      <c r="L13" s="18"/>
      <c r="M13" s="19"/>
    </row>
    <row r="14" ht="30.0" customHeight="1">
      <c r="A14" s="25"/>
      <c r="B14" s="4">
        <v>7.0</v>
      </c>
      <c r="C14" s="4" t="s">
        <v>91</v>
      </c>
      <c r="D14" s="4" t="s">
        <v>92</v>
      </c>
      <c r="E14" s="4" t="s">
        <v>41</v>
      </c>
      <c r="F14" s="23">
        <v>19.72</v>
      </c>
      <c r="G14" s="17"/>
      <c r="J14" s="18"/>
      <c r="K14" s="18"/>
      <c r="L14" s="18"/>
      <c r="M14" s="19"/>
    </row>
    <row r="15" ht="30.0" customHeight="1">
      <c r="A15" s="25"/>
      <c r="B15" s="4">
        <v>7.0</v>
      </c>
      <c r="C15" s="4" t="s">
        <v>93</v>
      </c>
      <c r="D15" s="4" t="s">
        <v>94</v>
      </c>
      <c r="E15" s="4" t="s">
        <v>41</v>
      </c>
      <c r="F15" s="23">
        <v>22.99</v>
      </c>
      <c r="G15" s="17"/>
      <c r="J15" s="18"/>
      <c r="K15" s="18"/>
      <c r="L15" s="18"/>
      <c r="M15" s="19"/>
    </row>
    <row r="16" ht="30.0" customHeight="1">
      <c r="A16" s="25"/>
      <c r="B16" s="4">
        <v>7.0</v>
      </c>
      <c r="C16" s="4" t="s">
        <v>95</v>
      </c>
      <c r="D16" s="4" t="s">
        <v>96</v>
      </c>
      <c r="E16" s="4" t="s">
        <v>41</v>
      </c>
      <c r="F16" s="23">
        <v>23.4</v>
      </c>
      <c r="G16" s="17"/>
      <c r="J16" s="5"/>
      <c r="K16" s="5"/>
      <c r="L16" s="5"/>
    </row>
    <row r="17" ht="30.0" customHeight="1">
      <c r="A17" s="25"/>
      <c r="F17" s="16"/>
      <c r="G17" s="17"/>
      <c r="J17" s="5"/>
      <c r="K17" s="5"/>
      <c r="L17" s="5"/>
    </row>
    <row r="18" ht="30.0" customHeight="1">
      <c r="A18" s="25"/>
      <c r="C18" s="25"/>
      <c r="F18" s="16"/>
      <c r="G18" s="17"/>
      <c r="J18" s="5"/>
      <c r="K18" s="5"/>
      <c r="L18" s="5"/>
    </row>
    <row r="19" ht="30.0" customHeight="1">
      <c r="A19" s="25"/>
      <c r="F19" s="16"/>
      <c r="G19" s="17"/>
      <c r="J19" s="5"/>
      <c r="K19" s="5"/>
      <c r="L19" s="5"/>
    </row>
    <row r="20" ht="30.0" customHeight="1">
      <c r="A20" s="25"/>
      <c r="F20" s="16"/>
      <c r="G20" s="17"/>
      <c r="J20" s="5"/>
      <c r="K20" s="5"/>
      <c r="L20" s="5"/>
    </row>
    <row r="21" ht="30.0" customHeight="1">
      <c r="A21" s="25"/>
      <c r="F21" s="16"/>
      <c r="G21" s="17"/>
      <c r="J21" s="5"/>
      <c r="K21" s="5"/>
      <c r="L21" s="5"/>
    </row>
    <row r="22" ht="15.75" customHeight="1">
      <c r="A22" s="25"/>
      <c r="F22" s="16"/>
      <c r="G22" s="17"/>
      <c r="J22" s="5"/>
      <c r="K22" s="5"/>
      <c r="L22" s="5"/>
    </row>
    <row r="23" ht="15.75" customHeight="1">
      <c r="A23" s="25"/>
      <c r="F23" s="16"/>
      <c r="G23" s="17"/>
      <c r="J23" s="5"/>
      <c r="K23" s="5"/>
      <c r="L23" s="5"/>
    </row>
    <row r="24" ht="15.75" customHeight="1">
      <c r="A24" s="25"/>
      <c r="F24" s="16"/>
      <c r="G24" s="17"/>
      <c r="J24" s="5"/>
      <c r="K24" s="5"/>
      <c r="L24" s="5"/>
    </row>
    <row r="25" ht="15.75" customHeight="1">
      <c r="A25" s="25"/>
      <c r="F25" s="16"/>
      <c r="G25" s="17"/>
      <c r="J25" s="5"/>
      <c r="K25" s="5"/>
      <c r="L25" s="5"/>
    </row>
    <row r="26" ht="15.75" customHeight="1">
      <c r="A26" s="25"/>
      <c r="F26" s="16"/>
      <c r="G26" s="17"/>
      <c r="J26" s="5"/>
      <c r="K26" s="5"/>
      <c r="L26" s="5"/>
    </row>
    <row r="27" ht="15.75" customHeight="1">
      <c r="A27" s="25"/>
      <c r="F27" s="16"/>
      <c r="G27" s="17"/>
      <c r="J27" s="5"/>
      <c r="K27" s="5"/>
      <c r="L27" s="5"/>
    </row>
    <row r="28" ht="15.75" customHeight="1">
      <c r="A28" s="25"/>
      <c r="F28" s="16"/>
      <c r="G28" s="17"/>
      <c r="J28" s="5"/>
      <c r="K28" s="5"/>
      <c r="L28" s="5"/>
    </row>
    <row r="29" ht="15.75" customHeight="1">
      <c r="A29" s="25"/>
      <c r="F29" s="16"/>
      <c r="G29" s="17"/>
      <c r="J29" s="5"/>
      <c r="K29" s="5"/>
      <c r="L29" s="5"/>
    </row>
    <row r="30" ht="15.75" customHeight="1">
      <c r="A30" s="25"/>
      <c r="F30" s="16"/>
      <c r="G30" s="17"/>
      <c r="J30" s="5"/>
      <c r="K30" s="5"/>
      <c r="L30" s="5"/>
    </row>
    <row r="31" ht="15.75" customHeight="1">
      <c r="A31" s="25"/>
      <c r="F31" s="16"/>
      <c r="G31" s="17"/>
      <c r="J31" s="5"/>
      <c r="K31" s="5"/>
      <c r="L31" s="5"/>
    </row>
    <row r="32" ht="15.75" customHeight="1">
      <c r="A32" s="25"/>
      <c r="F32" s="16"/>
      <c r="G32" s="17"/>
      <c r="J32" s="5"/>
      <c r="K32" s="5"/>
      <c r="L32" s="5"/>
    </row>
    <row r="33" ht="15.75" customHeight="1">
      <c r="A33" s="25"/>
      <c r="F33" s="16"/>
      <c r="G33" s="17"/>
      <c r="J33" s="5"/>
      <c r="K33" s="5"/>
      <c r="L33" s="5"/>
    </row>
    <row r="34" ht="15.75" customHeight="1">
      <c r="A34" s="25"/>
      <c r="F34" s="16"/>
      <c r="G34" s="17"/>
      <c r="J34" s="5"/>
      <c r="K34" s="5"/>
      <c r="L34" s="5"/>
    </row>
    <row r="35" ht="15.75" customHeight="1">
      <c r="A35" s="25"/>
      <c r="F35" s="16"/>
      <c r="G35" s="17"/>
      <c r="J35" s="5"/>
      <c r="K35" s="5"/>
      <c r="L35" s="5"/>
    </row>
    <row r="36" ht="15.75" customHeight="1">
      <c r="A36" s="25"/>
      <c r="F36" s="16"/>
      <c r="G36" s="17"/>
      <c r="J36" s="5"/>
      <c r="K36" s="5"/>
      <c r="L36" s="5"/>
    </row>
    <row r="37" ht="15.75" customHeight="1">
      <c r="A37" s="25"/>
      <c r="F37" s="16"/>
      <c r="G37" s="17"/>
      <c r="J37" s="5"/>
      <c r="K37" s="5"/>
      <c r="L37" s="5"/>
    </row>
    <row r="38" ht="15.75" customHeight="1">
      <c r="A38" s="25"/>
      <c r="F38" s="16"/>
      <c r="G38" s="17"/>
      <c r="J38" s="5"/>
      <c r="K38" s="5"/>
      <c r="L38" s="5"/>
    </row>
    <row r="39" ht="15.75" customHeight="1">
      <c r="A39" s="25"/>
      <c r="F39" s="16"/>
      <c r="G39" s="17"/>
      <c r="J39" s="5"/>
      <c r="K39" s="5"/>
      <c r="L39" s="5"/>
    </row>
    <row r="40" ht="15.75" customHeight="1">
      <c r="A40" s="25"/>
      <c r="F40" s="16"/>
      <c r="G40" s="17"/>
      <c r="J40" s="5"/>
      <c r="K40" s="5"/>
      <c r="L40" s="5"/>
    </row>
    <row r="41" ht="15.75" customHeight="1">
      <c r="A41" s="25"/>
      <c r="F41" s="16"/>
      <c r="G41" s="17"/>
      <c r="J41" s="5"/>
      <c r="K41" s="5"/>
      <c r="L41" s="5"/>
    </row>
    <row r="42" ht="15.75" customHeight="1">
      <c r="A42" s="25"/>
      <c r="F42" s="16"/>
      <c r="G42" s="17"/>
      <c r="J42" s="5"/>
      <c r="K42" s="5"/>
      <c r="L42" s="5"/>
    </row>
    <row r="43" ht="15.75" customHeight="1">
      <c r="A43" s="25"/>
      <c r="F43" s="16"/>
      <c r="G43" s="17"/>
      <c r="J43" s="5"/>
      <c r="K43" s="5"/>
      <c r="L43" s="5"/>
    </row>
    <row r="44" ht="15.75" customHeight="1">
      <c r="A44" s="25"/>
      <c r="F44" s="16"/>
      <c r="G44" s="17"/>
      <c r="J44" s="5"/>
      <c r="K44" s="5"/>
      <c r="L44" s="5"/>
    </row>
    <row r="45" ht="15.75" customHeight="1">
      <c r="A45" s="25"/>
      <c r="F45" s="16"/>
      <c r="G45" s="17"/>
      <c r="J45" s="5"/>
      <c r="K45" s="5"/>
      <c r="L45" s="5"/>
    </row>
    <row r="46" ht="15.75" customHeight="1">
      <c r="A46" s="25"/>
      <c r="F46" s="16"/>
      <c r="G46" s="17"/>
      <c r="J46" s="5"/>
      <c r="K46" s="5"/>
      <c r="L46" s="5"/>
    </row>
    <row r="47" ht="15.75" customHeight="1">
      <c r="A47" s="25"/>
      <c r="F47" s="16"/>
      <c r="G47" s="17"/>
      <c r="J47" s="5"/>
      <c r="K47" s="5"/>
      <c r="L47" s="5"/>
    </row>
    <row r="48" ht="15.75" customHeight="1">
      <c r="A48" s="25"/>
      <c r="F48" s="16"/>
      <c r="G48" s="17"/>
      <c r="J48" s="5"/>
      <c r="K48" s="5"/>
      <c r="L48" s="5"/>
    </row>
    <row r="49" ht="15.75" customHeight="1">
      <c r="A49" s="25"/>
      <c r="F49" s="16"/>
      <c r="G49" s="17"/>
      <c r="J49" s="5"/>
      <c r="K49" s="5"/>
      <c r="L49" s="5"/>
    </row>
    <row r="50" ht="15.75" customHeight="1">
      <c r="A50" s="25"/>
      <c r="F50" s="16"/>
      <c r="G50" s="17"/>
      <c r="J50" s="5"/>
      <c r="K50" s="5"/>
      <c r="L50" s="5"/>
    </row>
    <row r="51" ht="15.75" customHeight="1">
      <c r="A51" s="25"/>
      <c r="F51" s="16"/>
      <c r="G51" s="17"/>
      <c r="J51" s="5"/>
      <c r="K51" s="5"/>
      <c r="L51" s="5"/>
    </row>
    <row r="52" ht="15.75" customHeight="1">
      <c r="A52" s="25"/>
      <c r="F52" s="16"/>
      <c r="G52" s="17"/>
      <c r="J52" s="5"/>
      <c r="K52" s="5"/>
      <c r="L52" s="5"/>
    </row>
    <row r="53" ht="15.75" customHeight="1">
      <c r="A53" s="25"/>
      <c r="F53" s="16"/>
      <c r="G53" s="17"/>
      <c r="J53" s="5"/>
      <c r="K53" s="5"/>
      <c r="L53" s="5"/>
    </row>
    <row r="54" ht="15.75" customHeight="1">
      <c r="A54" s="25"/>
      <c r="F54" s="16"/>
      <c r="G54" s="17"/>
      <c r="J54" s="5"/>
      <c r="K54" s="5"/>
      <c r="L54" s="5"/>
    </row>
    <row r="55" ht="15.75" customHeight="1">
      <c r="A55" s="25"/>
      <c r="F55" s="16"/>
      <c r="G55" s="17"/>
      <c r="J55" s="5"/>
      <c r="K55" s="5"/>
      <c r="L55" s="5"/>
    </row>
    <row r="56" ht="15.75" customHeight="1">
      <c r="A56" s="25"/>
      <c r="F56" s="16"/>
      <c r="G56" s="17"/>
      <c r="J56" s="5"/>
      <c r="K56" s="5"/>
      <c r="L56" s="5"/>
    </row>
    <row r="57" ht="15.75" customHeight="1">
      <c r="A57" s="25"/>
      <c r="F57" s="16"/>
      <c r="G57" s="17"/>
      <c r="J57" s="5"/>
      <c r="K57" s="5"/>
      <c r="L57" s="5"/>
    </row>
    <row r="58" ht="15.75" customHeight="1">
      <c r="A58" s="25"/>
      <c r="F58" s="16"/>
      <c r="G58" s="17"/>
      <c r="J58" s="5"/>
      <c r="K58" s="5"/>
      <c r="L58" s="5"/>
    </row>
    <row r="59" ht="15.75" customHeight="1">
      <c r="A59" s="25"/>
      <c r="F59" s="16"/>
      <c r="G59" s="17"/>
      <c r="J59" s="5"/>
      <c r="K59" s="5"/>
      <c r="L59" s="5"/>
    </row>
    <row r="60" ht="15.75" customHeight="1">
      <c r="A60" s="25"/>
      <c r="F60" s="16"/>
      <c r="G60" s="17"/>
      <c r="J60" s="5"/>
      <c r="K60" s="5"/>
      <c r="L60" s="5"/>
    </row>
    <row r="61" ht="15.75" customHeight="1">
      <c r="A61" s="25"/>
      <c r="F61" s="16"/>
      <c r="G61" s="17"/>
      <c r="J61" s="5"/>
      <c r="K61" s="5"/>
      <c r="L61" s="5"/>
    </row>
    <row r="62" ht="15.75" customHeight="1">
      <c r="A62" s="25"/>
      <c r="F62" s="16"/>
      <c r="G62" s="17"/>
      <c r="J62" s="5"/>
      <c r="K62" s="5"/>
      <c r="L62" s="5"/>
    </row>
    <row r="63" ht="15.75" customHeight="1">
      <c r="A63" s="25"/>
      <c r="F63" s="16"/>
      <c r="G63" s="17"/>
      <c r="J63" s="5"/>
      <c r="K63" s="5"/>
      <c r="L63" s="5"/>
    </row>
    <row r="64" ht="15.75" customHeight="1">
      <c r="A64" s="25"/>
      <c r="F64" s="16"/>
      <c r="G64" s="17"/>
      <c r="J64" s="5"/>
      <c r="K64" s="5"/>
      <c r="L64" s="5"/>
    </row>
    <row r="65" ht="15.75" customHeight="1">
      <c r="A65" s="25"/>
      <c r="F65" s="16"/>
      <c r="G65" s="17"/>
      <c r="J65" s="5"/>
      <c r="K65" s="5"/>
      <c r="L65" s="5"/>
    </row>
    <row r="66" ht="15.75" customHeight="1">
      <c r="A66" s="25"/>
      <c r="F66" s="16"/>
      <c r="G66" s="17"/>
      <c r="J66" s="5"/>
      <c r="K66" s="5"/>
      <c r="L66" s="5"/>
    </row>
    <row r="67" ht="15.75" customHeight="1">
      <c r="A67" s="25"/>
      <c r="F67" s="16"/>
      <c r="G67" s="17"/>
      <c r="J67" s="5"/>
      <c r="K67" s="5"/>
      <c r="L67" s="5"/>
    </row>
    <row r="68" ht="15.75" customHeight="1">
      <c r="A68" s="25"/>
      <c r="F68" s="16"/>
      <c r="G68" s="17"/>
      <c r="J68" s="5"/>
      <c r="K68" s="5"/>
      <c r="L68" s="5"/>
    </row>
    <row r="69" ht="15.75" customHeight="1">
      <c r="A69" s="25"/>
      <c r="F69" s="16"/>
      <c r="G69" s="17"/>
      <c r="J69" s="5"/>
      <c r="K69" s="5"/>
      <c r="L69" s="5"/>
    </row>
    <row r="70" ht="15.75" customHeight="1">
      <c r="A70" s="25"/>
      <c r="F70" s="16"/>
      <c r="G70" s="17"/>
      <c r="J70" s="5"/>
      <c r="K70" s="5"/>
      <c r="L70" s="5"/>
    </row>
    <row r="71" ht="15.75" customHeight="1">
      <c r="A71" s="25"/>
      <c r="F71" s="16"/>
      <c r="G71" s="17"/>
      <c r="J71" s="5"/>
      <c r="K71" s="5"/>
      <c r="L71" s="5"/>
    </row>
    <row r="72" ht="15.75" customHeight="1">
      <c r="A72" s="25"/>
      <c r="F72" s="16"/>
      <c r="G72" s="17"/>
      <c r="J72" s="5"/>
      <c r="K72" s="5"/>
      <c r="L72" s="5"/>
    </row>
    <row r="73" ht="15.75" customHeight="1">
      <c r="A73" s="25"/>
      <c r="F73" s="16"/>
      <c r="G73" s="17"/>
      <c r="J73" s="5"/>
      <c r="K73" s="5"/>
      <c r="L73" s="5"/>
    </row>
    <row r="74" ht="15.75" customHeight="1">
      <c r="A74" s="25"/>
      <c r="F74" s="16"/>
      <c r="G74" s="17"/>
      <c r="J74" s="5"/>
      <c r="K74" s="5"/>
      <c r="L74" s="5"/>
    </row>
    <row r="75" ht="15.75" customHeight="1">
      <c r="A75" s="25"/>
      <c r="F75" s="16"/>
      <c r="G75" s="17"/>
      <c r="J75" s="5"/>
      <c r="K75" s="5"/>
      <c r="L75" s="5"/>
    </row>
    <row r="76" ht="15.75" customHeight="1">
      <c r="A76" s="25"/>
      <c r="F76" s="16"/>
      <c r="G76" s="17"/>
      <c r="J76" s="5"/>
      <c r="K76" s="5"/>
      <c r="L76" s="5"/>
    </row>
    <row r="77" ht="15.75" customHeight="1">
      <c r="A77" s="25"/>
      <c r="F77" s="16"/>
      <c r="G77" s="17"/>
      <c r="J77" s="5"/>
      <c r="K77" s="5"/>
      <c r="L77" s="5"/>
    </row>
    <row r="78" ht="15.75" customHeight="1">
      <c r="A78" s="25"/>
      <c r="F78" s="16"/>
      <c r="G78" s="17"/>
      <c r="J78" s="5"/>
      <c r="K78" s="5"/>
      <c r="L78" s="5"/>
    </row>
    <row r="79" ht="15.75" customHeight="1">
      <c r="A79" s="25"/>
      <c r="F79" s="16"/>
      <c r="G79" s="17"/>
      <c r="J79" s="5"/>
      <c r="K79" s="5"/>
      <c r="L79" s="5"/>
    </row>
    <row r="80" ht="15.75" customHeight="1">
      <c r="A80" s="25"/>
      <c r="F80" s="16"/>
      <c r="G80" s="17"/>
      <c r="J80" s="5"/>
      <c r="K80" s="5"/>
      <c r="L80" s="5"/>
    </row>
    <row r="81" ht="15.75" customHeight="1">
      <c r="A81" s="25"/>
      <c r="F81" s="16"/>
      <c r="G81" s="17"/>
      <c r="J81" s="5"/>
      <c r="K81" s="5"/>
      <c r="L81" s="5"/>
    </row>
    <row r="82" ht="15.75" customHeight="1">
      <c r="A82" s="25"/>
      <c r="F82" s="16"/>
      <c r="G82" s="17"/>
      <c r="J82" s="5"/>
      <c r="K82" s="5"/>
      <c r="L82" s="5"/>
    </row>
    <row r="83" ht="15.75" customHeight="1">
      <c r="A83" s="25"/>
      <c r="F83" s="16"/>
      <c r="G83" s="17"/>
      <c r="J83" s="5"/>
      <c r="K83" s="5"/>
      <c r="L83" s="5"/>
    </row>
    <row r="84" ht="15.75" customHeight="1">
      <c r="A84" s="25"/>
      <c r="F84" s="16"/>
      <c r="G84" s="17"/>
      <c r="J84" s="5"/>
      <c r="K84" s="5"/>
      <c r="L84" s="5"/>
    </row>
    <row r="85" ht="15.75" customHeight="1">
      <c r="A85" s="25"/>
      <c r="F85" s="16"/>
      <c r="G85" s="17"/>
      <c r="J85" s="5"/>
      <c r="K85" s="5"/>
      <c r="L85" s="5"/>
    </row>
    <row r="86" ht="15.75" customHeight="1">
      <c r="A86" s="25"/>
      <c r="F86" s="16"/>
      <c r="G86" s="17"/>
      <c r="J86" s="5"/>
      <c r="K86" s="5"/>
      <c r="L86" s="5"/>
    </row>
    <row r="87" ht="15.75" customHeight="1">
      <c r="A87" s="25"/>
      <c r="F87" s="16"/>
      <c r="G87" s="17"/>
      <c r="J87" s="5"/>
      <c r="K87" s="5"/>
      <c r="L87" s="5"/>
    </row>
    <row r="88" ht="15.75" customHeight="1">
      <c r="A88" s="25"/>
      <c r="F88" s="16"/>
      <c r="G88" s="17"/>
      <c r="J88" s="5"/>
      <c r="K88" s="5"/>
      <c r="L88" s="5"/>
    </row>
    <row r="89" ht="15.75" customHeight="1">
      <c r="A89" s="25"/>
      <c r="F89" s="16"/>
      <c r="G89" s="17"/>
      <c r="J89" s="5"/>
      <c r="K89" s="5"/>
      <c r="L89" s="5"/>
    </row>
    <row r="90" ht="15.75" customHeight="1">
      <c r="A90" s="25"/>
      <c r="F90" s="16"/>
      <c r="G90" s="17"/>
      <c r="J90" s="5"/>
      <c r="K90" s="5"/>
      <c r="L90" s="5"/>
    </row>
    <row r="91" ht="15.75" customHeight="1">
      <c r="A91" s="25"/>
      <c r="F91" s="16"/>
      <c r="G91" s="17"/>
      <c r="J91" s="5"/>
      <c r="K91" s="5"/>
      <c r="L91" s="5"/>
    </row>
    <row r="92" ht="15.75" customHeight="1">
      <c r="A92" s="25"/>
      <c r="F92" s="16"/>
      <c r="G92" s="17"/>
      <c r="J92" s="5"/>
      <c r="K92" s="5"/>
      <c r="L92" s="5"/>
    </row>
    <row r="93" ht="15.75" customHeight="1">
      <c r="A93" s="25"/>
      <c r="F93" s="16"/>
      <c r="G93" s="17"/>
      <c r="J93" s="5"/>
      <c r="K93" s="5"/>
      <c r="L93" s="5"/>
    </row>
    <row r="94" ht="15.75" customHeight="1">
      <c r="A94" s="25"/>
      <c r="F94" s="16"/>
      <c r="G94" s="17"/>
      <c r="J94" s="5"/>
      <c r="K94" s="5"/>
      <c r="L94" s="5"/>
    </row>
    <row r="95" ht="15.75" customHeight="1">
      <c r="A95" s="25"/>
      <c r="F95" s="16"/>
      <c r="G95" s="17"/>
      <c r="J95" s="5"/>
      <c r="K95" s="5"/>
      <c r="L95" s="5"/>
    </row>
    <row r="96" ht="15.75" customHeight="1">
      <c r="A96" s="25"/>
      <c r="F96" s="16"/>
      <c r="G96" s="17"/>
      <c r="J96" s="5"/>
      <c r="K96" s="5"/>
      <c r="L96" s="5"/>
    </row>
    <row r="97" ht="15.75" customHeight="1">
      <c r="A97" s="25"/>
      <c r="F97" s="16"/>
      <c r="G97" s="17"/>
      <c r="J97" s="5"/>
      <c r="K97" s="5"/>
      <c r="L97" s="5"/>
    </row>
    <row r="98" ht="15.75" customHeight="1">
      <c r="A98" s="25"/>
      <c r="F98" s="16"/>
      <c r="G98" s="17"/>
      <c r="J98" s="5"/>
      <c r="K98" s="5"/>
      <c r="L98" s="5"/>
    </row>
    <row r="99" ht="15.75" customHeight="1">
      <c r="A99" s="25"/>
      <c r="F99" s="16"/>
      <c r="G99" s="17"/>
      <c r="J99" s="5"/>
      <c r="K99" s="5"/>
      <c r="L99" s="5"/>
    </row>
    <row r="100" ht="15.75" customHeight="1">
      <c r="A100" s="25"/>
      <c r="F100" s="16"/>
      <c r="G100" s="17"/>
      <c r="J100" s="5"/>
      <c r="K100" s="5"/>
      <c r="L100" s="5"/>
    </row>
    <row r="101" ht="15.75" customHeight="1">
      <c r="A101" s="25"/>
      <c r="F101" s="16"/>
      <c r="G101" s="17"/>
      <c r="J101" s="5"/>
      <c r="K101" s="5"/>
      <c r="L101" s="5"/>
    </row>
    <row r="102" ht="15.75" customHeight="1">
      <c r="A102" s="25"/>
      <c r="F102" s="16"/>
      <c r="G102" s="17"/>
      <c r="J102" s="5"/>
      <c r="K102" s="5"/>
      <c r="L102" s="5"/>
    </row>
    <row r="103" ht="15.75" customHeight="1">
      <c r="A103" s="25"/>
      <c r="F103" s="16"/>
      <c r="G103" s="17"/>
      <c r="J103" s="5"/>
      <c r="K103" s="5"/>
      <c r="L103" s="5"/>
    </row>
    <row r="104" ht="15.75" customHeight="1">
      <c r="A104" s="25"/>
      <c r="F104" s="16"/>
      <c r="G104" s="17"/>
      <c r="J104" s="5"/>
      <c r="K104" s="5"/>
      <c r="L104" s="5"/>
    </row>
    <row r="105" ht="15.75" customHeight="1">
      <c r="A105" s="25"/>
      <c r="F105" s="16"/>
      <c r="G105" s="17"/>
      <c r="J105" s="5"/>
      <c r="K105" s="5"/>
      <c r="L105" s="5"/>
    </row>
    <row r="106" ht="15.75" customHeight="1">
      <c r="A106" s="25"/>
      <c r="F106" s="16"/>
      <c r="G106" s="17"/>
      <c r="J106" s="5"/>
      <c r="K106" s="5"/>
      <c r="L106" s="5"/>
    </row>
    <row r="107" ht="15.75" customHeight="1">
      <c r="A107" s="25"/>
      <c r="F107" s="16"/>
      <c r="G107" s="17"/>
      <c r="J107" s="5"/>
      <c r="K107" s="5"/>
      <c r="L107" s="5"/>
    </row>
    <row r="108" ht="15.75" customHeight="1">
      <c r="A108" s="25"/>
      <c r="F108" s="16"/>
      <c r="G108" s="17"/>
      <c r="J108" s="5"/>
      <c r="K108" s="5"/>
      <c r="L108" s="5"/>
    </row>
    <row r="109" ht="15.75" customHeight="1">
      <c r="A109" s="25"/>
      <c r="F109" s="16"/>
      <c r="G109" s="17"/>
      <c r="J109" s="5"/>
      <c r="K109" s="5"/>
      <c r="L109" s="5"/>
    </row>
    <row r="110" ht="15.75" customHeight="1">
      <c r="A110" s="25"/>
      <c r="F110" s="16"/>
      <c r="G110" s="17"/>
      <c r="J110" s="5"/>
      <c r="K110" s="5"/>
      <c r="L110" s="5"/>
    </row>
    <row r="111" ht="15.75" customHeight="1">
      <c r="A111" s="25"/>
      <c r="F111" s="16"/>
      <c r="G111" s="17"/>
      <c r="J111" s="5"/>
      <c r="K111" s="5"/>
      <c r="L111" s="5"/>
    </row>
    <row r="112" ht="15.75" customHeight="1">
      <c r="A112" s="25"/>
      <c r="F112" s="16"/>
      <c r="G112" s="17"/>
      <c r="J112" s="5"/>
      <c r="K112" s="5"/>
      <c r="L112" s="5"/>
    </row>
    <row r="113" ht="15.75" customHeight="1">
      <c r="A113" s="25"/>
      <c r="F113" s="16"/>
      <c r="G113" s="17"/>
      <c r="J113" s="5"/>
      <c r="K113" s="5"/>
      <c r="L113" s="5"/>
    </row>
    <row r="114" ht="15.75" customHeight="1">
      <c r="A114" s="25"/>
      <c r="F114" s="16"/>
      <c r="G114" s="17"/>
      <c r="J114" s="5"/>
      <c r="K114" s="5"/>
      <c r="L114" s="5"/>
    </row>
    <row r="115" ht="15.75" customHeight="1">
      <c r="A115" s="25"/>
      <c r="F115" s="16"/>
      <c r="G115" s="17"/>
      <c r="J115" s="5"/>
      <c r="K115" s="5"/>
      <c r="L115" s="5"/>
    </row>
    <row r="116" ht="15.75" customHeight="1">
      <c r="A116" s="25"/>
      <c r="F116" s="16"/>
      <c r="G116" s="17"/>
      <c r="J116" s="5"/>
      <c r="K116" s="5"/>
      <c r="L116" s="5"/>
    </row>
    <row r="117" ht="15.75" customHeight="1">
      <c r="A117" s="25"/>
      <c r="F117" s="16"/>
      <c r="G117" s="17"/>
      <c r="J117" s="5"/>
      <c r="K117" s="5"/>
      <c r="L117" s="5"/>
    </row>
    <row r="118" ht="15.75" customHeight="1">
      <c r="A118" s="25"/>
      <c r="F118" s="16"/>
      <c r="G118" s="17"/>
      <c r="J118" s="5"/>
      <c r="K118" s="5"/>
      <c r="L118" s="5"/>
    </row>
    <row r="119" ht="15.75" customHeight="1">
      <c r="A119" s="25"/>
      <c r="F119" s="16"/>
      <c r="G119" s="17"/>
      <c r="J119" s="5"/>
      <c r="K119" s="5"/>
      <c r="L119" s="5"/>
    </row>
    <row r="120" ht="15.75" customHeight="1">
      <c r="A120" s="25"/>
      <c r="F120" s="16"/>
      <c r="G120" s="17"/>
      <c r="J120" s="5"/>
      <c r="K120" s="5"/>
      <c r="L120" s="5"/>
    </row>
    <row r="121" ht="15.75" customHeight="1">
      <c r="A121" s="25"/>
      <c r="F121" s="16"/>
      <c r="G121" s="17"/>
      <c r="J121" s="5"/>
      <c r="K121" s="5"/>
      <c r="L121" s="5"/>
    </row>
    <row r="122" ht="15.75" customHeight="1">
      <c r="A122" s="25"/>
      <c r="F122" s="16"/>
      <c r="G122" s="17"/>
      <c r="J122" s="5"/>
      <c r="K122" s="5"/>
      <c r="L122" s="5"/>
    </row>
    <row r="123" ht="15.75" customHeight="1">
      <c r="A123" s="25"/>
      <c r="F123" s="16"/>
      <c r="G123" s="17"/>
      <c r="J123" s="5"/>
      <c r="K123" s="5"/>
      <c r="L123" s="5"/>
    </row>
    <row r="124" ht="15.75" customHeight="1">
      <c r="A124" s="25"/>
      <c r="F124" s="16"/>
      <c r="G124" s="17"/>
      <c r="J124" s="5"/>
      <c r="K124" s="5"/>
      <c r="L124" s="5"/>
    </row>
    <row r="125" ht="15.75" customHeight="1">
      <c r="A125" s="25"/>
      <c r="F125" s="16"/>
      <c r="G125" s="17"/>
      <c r="J125" s="5"/>
      <c r="K125" s="5"/>
      <c r="L125" s="5"/>
    </row>
    <row r="126" ht="15.75" customHeight="1">
      <c r="A126" s="25"/>
      <c r="F126" s="16"/>
      <c r="G126" s="17"/>
      <c r="J126" s="5"/>
      <c r="K126" s="5"/>
      <c r="L126" s="5"/>
    </row>
    <row r="127" ht="15.75" customHeight="1">
      <c r="A127" s="25"/>
      <c r="F127" s="16"/>
      <c r="G127" s="17"/>
      <c r="J127" s="5"/>
      <c r="K127" s="5"/>
      <c r="L127" s="5"/>
    </row>
    <row r="128" ht="15.75" customHeight="1">
      <c r="A128" s="25"/>
      <c r="F128" s="16"/>
      <c r="G128" s="17"/>
      <c r="J128" s="5"/>
      <c r="K128" s="5"/>
      <c r="L128" s="5"/>
    </row>
    <row r="129" ht="15.75" customHeight="1">
      <c r="A129" s="25"/>
      <c r="F129" s="16"/>
      <c r="G129" s="17"/>
      <c r="J129" s="5"/>
      <c r="K129" s="5"/>
      <c r="L129" s="5"/>
    </row>
    <row r="130" ht="15.75" customHeight="1">
      <c r="A130" s="25"/>
      <c r="F130" s="16"/>
      <c r="G130" s="17"/>
      <c r="J130" s="5"/>
      <c r="K130" s="5"/>
      <c r="L130" s="5"/>
    </row>
    <row r="131" ht="15.75" customHeight="1">
      <c r="A131" s="25"/>
      <c r="F131" s="16"/>
      <c r="G131" s="17"/>
      <c r="J131" s="5"/>
      <c r="K131" s="5"/>
      <c r="L131" s="5"/>
    </row>
    <row r="132" ht="15.75" customHeight="1">
      <c r="A132" s="25"/>
      <c r="F132" s="16"/>
      <c r="G132" s="17"/>
      <c r="J132" s="5"/>
      <c r="K132" s="5"/>
      <c r="L132" s="5"/>
    </row>
    <row r="133" ht="15.75" customHeight="1">
      <c r="A133" s="25"/>
      <c r="F133" s="16"/>
      <c r="G133" s="17"/>
      <c r="J133" s="5"/>
      <c r="K133" s="5"/>
      <c r="L133" s="5"/>
    </row>
    <row r="134" ht="15.75" customHeight="1">
      <c r="A134" s="25"/>
      <c r="F134" s="16"/>
      <c r="G134" s="17"/>
      <c r="J134" s="5"/>
      <c r="K134" s="5"/>
      <c r="L134" s="5"/>
    </row>
    <row r="135" ht="15.75" customHeight="1">
      <c r="A135" s="25"/>
      <c r="F135" s="16"/>
      <c r="G135" s="17"/>
      <c r="J135" s="5"/>
      <c r="K135" s="5"/>
      <c r="L135" s="5"/>
    </row>
    <row r="136" ht="15.75" customHeight="1">
      <c r="A136" s="25"/>
      <c r="F136" s="16"/>
      <c r="G136" s="17"/>
      <c r="J136" s="5"/>
      <c r="K136" s="5"/>
      <c r="L136" s="5"/>
    </row>
    <row r="137" ht="15.75" customHeight="1">
      <c r="A137" s="25"/>
      <c r="F137" s="16"/>
      <c r="G137" s="17"/>
      <c r="J137" s="5"/>
      <c r="K137" s="5"/>
      <c r="L137" s="5"/>
    </row>
    <row r="138" ht="15.75" customHeight="1">
      <c r="A138" s="25"/>
      <c r="F138" s="16"/>
      <c r="G138" s="17"/>
      <c r="J138" s="5"/>
      <c r="K138" s="5"/>
      <c r="L138" s="5"/>
    </row>
    <row r="139" ht="15.75" customHeight="1">
      <c r="A139" s="25"/>
      <c r="F139" s="16"/>
      <c r="G139" s="17"/>
      <c r="J139" s="5"/>
      <c r="K139" s="5"/>
      <c r="L139" s="5"/>
    </row>
    <row r="140" ht="15.75" customHeight="1">
      <c r="A140" s="25"/>
      <c r="F140" s="16"/>
      <c r="G140" s="17"/>
      <c r="J140" s="5"/>
      <c r="K140" s="5"/>
      <c r="L140" s="5"/>
    </row>
    <row r="141" ht="15.75" customHeight="1">
      <c r="A141" s="25"/>
      <c r="F141" s="16"/>
      <c r="G141" s="17"/>
      <c r="J141" s="5"/>
      <c r="K141" s="5"/>
      <c r="L141" s="5"/>
    </row>
    <row r="142" ht="15.75" customHeight="1">
      <c r="A142" s="25"/>
      <c r="F142" s="16"/>
      <c r="G142" s="17"/>
      <c r="J142" s="5"/>
      <c r="K142" s="5"/>
      <c r="L142" s="5"/>
    </row>
    <row r="143" ht="15.75" customHeight="1">
      <c r="A143" s="25"/>
      <c r="F143" s="16"/>
      <c r="G143" s="17"/>
      <c r="J143" s="5"/>
      <c r="K143" s="5"/>
      <c r="L143" s="5"/>
    </row>
    <row r="144" ht="15.75" customHeight="1">
      <c r="A144" s="25"/>
      <c r="F144" s="16"/>
      <c r="G144" s="17"/>
      <c r="J144" s="5"/>
      <c r="K144" s="5"/>
      <c r="L144" s="5"/>
    </row>
    <row r="145" ht="15.75" customHeight="1">
      <c r="A145" s="25"/>
      <c r="F145" s="16"/>
      <c r="G145" s="17"/>
      <c r="J145" s="5"/>
      <c r="K145" s="5"/>
      <c r="L145" s="5"/>
    </row>
    <row r="146" ht="15.75" customHeight="1">
      <c r="A146" s="25"/>
      <c r="F146" s="16"/>
      <c r="G146" s="17"/>
      <c r="J146" s="5"/>
      <c r="K146" s="5"/>
      <c r="L146" s="5"/>
    </row>
    <row r="147" ht="15.75" customHeight="1">
      <c r="A147" s="25"/>
      <c r="F147" s="16"/>
      <c r="G147" s="17"/>
      <c r="J147" s="5"/>
      <c r="K147" s="5"/>
      <c r="L147" s="5"/>
    </row>
    <row r="148" ht="15.75" customHeight="1">
      <c r="A148" s="25"/>
      <c r="F148" s="16"/>
      <c r="G148" s="17"/>
      <c r="J148" s="5"/>
      <c r="K148" s="5"/>
      <c r="L148" s="5"/>
    </row>
    <row r="149" ht="15.75" customHeight="1">
      <c r="A149" s="25"/>
      <c r="F149" s="16"/>
      <c r="G149" s="17"/>
      <c r="J149" s="5"/>
      <c r="K149" s="5"/>
      <c r="L149" s="5"/>
    </row>
    <row r="150" ht="15.75" customHeight="1">
      <c r="A150" s="25"/>
      <c r="F150" s="16"/>
      <c r="G150" s="17"/>
      <c r="J150" s="5"/>
      <c r="K150" s="5"/>
      <c r="L150" s="5"/>
    </row>
    <row r="151" ht="15.75" customHeight="1">
      <c r="A151" s="25"/>
      <c r="F151" s="16"/>
      <c r="G151" s="17"/>
      <c r="J151" s="5"/>
      <c r="K151" s="5"/>
      <c r="L151" s="5"/>
    </row>
    <row r="152" ht="15.75" customHeight="1">
      <c r="A152" s="25"/>
      <c r="F152" s="16"/>
      <c r="G152" s="17"/>
      <c r="J152" s="5"/>
      <c r="K152" s="5"/>
      <c r="L152" s="5"/>
    </row>
    <row r="153" ht="15.75" customHeight="1">
      <c r="A153" s="25"/>
      <c r="F153" s="16"/>
      <c r="G153" s="17"/>
      <c r="J153" s="5"/>
      <c r="K153" s="5"/>
      <c r="L153" s="5"/>
    </row>
    <row r="154" ht="15.75" customHeight="1">
      <c r="A154" s="25"/>
      <c r="F154" s="16"/>
      <c r="G154" s="17"/>
      <c r="J154" s="5"/>
      <c r="K154" s="5"/>
      <c r="L154" s="5"/>
    </row>
    <row r="155" ht="15.75" customHeight="1">
      <c r="A155" s="25"/>
      <c r="F155" s="16"/>
      <c r="G155" s="17"/>
      <c r="J155" s="5"/>
      <c r="K155" s="5"/>
      <c r="L155" s="5"/>
    </row>
    <row r="156" ht="15.75" customHeight="1">
      <c r="A156" s="25"/>
      <c r="F156" s="16"/>
      <c r="G156" s="17"/>
      <c r="J156" s="5"/>
      <c r="K156" s="5"/>
      <c r="L156" s="5"/>
    </row>
    <row r="157" ht="15.75" customHeight="1">
      <c r="A157" s="25"/>
      <c r="F157" s="16"/>
      <c r="G157" s="17"/>
      <c r="J157" s="5"/>
      <c r="K157" s="5"/>
      <c r="L157" s="5"/>
    </row>
    <row r="158" ht="15.75" customHeight="1">
      <c r="A158" s="25"/>
      <c r="F158" s="16"/>
      <c r="G158" s="17"/>
      <c r="J158" s="5"/>
      <c r="K158" s="5"/>
      <c r="L158" s="5"/>
    </row>
    <row r="159" ht="15.75" customHeight="1">
      <c r="A159" s="25"/>
      <c r="F159" s="16"/>
      <c r="G159" s="17"/>
      <c r="J159" s="5"/>
      <c r="K159" s="5"/>
      <c r="L159" s="5"/>
    </row>
    <row r="160" ht="15.75" customHeight="1">
      <c r="A160" s="25"/>
      <c r="F160" s="16"/>
      <c r="G160" s="17"/>
      <c r="J160" s="5"/>
      <c r="K160" s="5"/>
      <c r="L160" s="5"/>
    </row>
    <row r="161" ht="15.75" customHeight="1">
      <c r="A161" s="25"/>
      <c r="F161" s="16"/>
      <c r="G161" s="17"/>
      <c r="J161" s="5"/>
      <c r="K161" s="5"/>
      <c r="L161" s="5"/>
    </row>
    <row r="162" ht="15.75" customHeight="1">
      <c r="A162" s="25"/>
      <c r="F162" s="16"/>
      <c r="G162" s="17"/>
      <c r="J162" s="5"/>
      <c r="K162" s="5"/>
      <c r="L162" s="5"/>
    </row>
    <row r="163" ht="15.75" customHeight="1">
      <c r="A163" s="25"/>
      <c r="F163" s="16"/>
      <c r="G163" s="17"/>
      <c r="J163" s="5"/>
      <c r="K163" s="5"/>
      <c r="L163" s="5"/>
    </row>
    <row r="164" ht="15.75" customHeight="1">
      <c r="A164" s="25"/>
      <c r="F164" s="16"/>
      <c r="G164" s="17"/>
      <c r="J164" s="5"/>
      <c r="K164" s="5"/>
      <c r="L164" s="5"/>
    </row>
    <row r="165" ht="15.75" customHeight="1">
      <c r="A165" s="25"/>
      <c r="F165" s="16"/>
      <c r="G165" s="17"/>
      <c r="J165" s="5"/>
      <c r="K165" s="5"/>
      <c r="L165" s="5"/>
    </row>
    <row r="166" ht="15.75" customHeight="1">
      <c r="A166" s="25"/>
      <c r="F166" s="16"/>
      <c r="G166" s="17"/>
      <c r="J166" s="5"/>
      <c r="K166" s="5"/>
      <c r="L166" s="5"/>
    </row>
    <row r="167" ht="15.75" customHeight="1">
      <c r="A167" s="25"/>
      <c r="F167" s="16"/>
      <c r="G167" s="17"/>
      <c r="J167" s="5"/>
      <c r="K167" s="5"/>
      <c r="L167" s="5"/>
    </row>
    <row r="168" ht="15.75" customHeight="1">
      <c r="A168" s="25"/>
      <c r="F168" s="16"/>
      <c r="G168" s="17"/>
      <c r="J168" s="5"/>
      <c r="K168" s="5"/>
      <c r="L168" s="5"/>
    </row>
    <row r="169" ht="15.75" customHeight="1">
      <c r="A169" s="25"/>
      <c r="F169" s="16"/>
      <c r="G169" s="17"/>
      <c r="J169" s="5"/>
      <c r="K169" s="5"/>
      <c r="L169" s="5"/>
    </row>
    <row r="170" ht="15.75" customHeight="1">
      <c r="A170" s="25"/>
      <c r="F170" s="16"/>
      <c r="G170" s="17"/>
      <c r="J170" s="5"/>
      <c r="K170" s="5"/>
      <c r="L170" s="5"/>
    </row>
    <row r="171" ht="15.75" customHeight="1">
      <c r="A171" s="25"/>
      <c r="F171" s="16"/>
      <c r="G171" s="17"/>
      <c r="J171" s="5"/>
      <c r="K171" s="5"/>
      <c r="L171" s="5"/>
    </row>
    <row r="172" ht="15.75" customHeight="1">
      <c r="A172" s="25"/>
      <c r="F172" s="16"/>
      <c r="G172" s="17"/>
      <c r="J172" s="5"/>
      <c r="K172" s="5"/>
      <c r="L172" s="5"/>
    </row>
    <row r="173" ht="15.75" customHeight="1">
      <c r="A173" s="25"/>
      <c r="F173" s="16"/>
      <c r="G173" s="17"/>
      <c r="J173" s="5"/>
      <c r="K173" s="5"/>
      <c r="L173" s="5"/>
    </row>
    <row r="174" ht="15.75" customHeight="1">
      <c r="A174" s="25"/>
      <c r="F174" s="16"/>
      <c r="G174" s="17"/>
      <c r="J174" s="5"/>
      <c r="K174" s="5"/>
      <c r="L174" s="5"/>
    </row>
    <row r="175" ht="15.75" customHeight="1">
      <c r="A175" s="25"/>
      <c r="F175" s="16"/>
      <c r="G175" s="17"/>
      <c r="J175" s="5"/>
      <c r="K175" s="5"/>
      <c r="L175" s="5"/>
    </row>
    <row r="176" ht="15.75" customHeight="1">
      <c r="A176" s="25"/>
      <c r="F176" s="16"/>
      <c r="G176" s="17"/>
      <c r="J176" s="5"/>
      <c r="K176" s="5"/>
      <c r="L176" s="5"/>
    </row>
    <row r="177" ht="15.75" customHeight="1">
      <c r="A177" s="25"/>
      <c r="F177" s="16"/>
      <c r="G177" s="17"/>
      <c r="J177" s="5"/>
      <c r="K177" s="5"/>
      <c r="L177" s="5"/>
    </row>
    <row r="178" ht="15.75" customHeight="1">
      <c r="A178" s="25"/>
      <c r="F178" s="16"/>
      <c r="G178" s="17"/>
      <c r="J178" s="5"/>
      <c r="K178" s="5"/>
      <c r="L178" s="5"/>
    </row>
    <row r="179" ht="15.75" customHeight="1">
      <c r="A179" s="25"/>
      <c r="F179" s="16"/>
      <c r="G179" s="17"/>
      <c r="J179" s="5"/>
      <c r="K179" s="5"/>
      <c r="L179" s="5"/>
    </row>
    <row r="180" ht="15.75" customHeight="1">
      <c r="A180" s="25"/>
      <c r="F180" s="16"/>
      <c r="G180" s="17"/>
      <c r="J180" s="5"/>
      <c r="K180" s="5"/>
      <c r="L180" s="5"/>
    </row>
    <row r="181" ht="15.75" customHeight="1">
      <c r="A181" s="25"/>
      <c r="F181" s="16"/>
      <c r="G181" s="17"/>
      <c r="J181" s="5"/>
      <c r="K181" s="5"/>
      <c r="L181" s="5"/>
    </row>
    <row r="182" ht="15.75" customHeight="1">
      <c r="A182" s="25"/>
      <c r="F182" s="16"/>
      <c r="G182" s="17"/>
      <c r="J182" s="5"/>
      <c r="K182" s="5"/>
      <c r="L182" s="5"/>
    </row>
    <row r="183" ht="15.75" customHeight="1">
      <c r="A183" s="25"/>
      <c r="F183" s="16"/>
      <c r="G183" s="17"/>
      <c r="J183" s="5"/>
      <c r="K183" s="5"/>
      <c r="L183" s="5"/>
    </row>
    <row r="184" ht="15.75" customHeight="1">
      <c r="A184" s="25"/>
      <c r="F184" s="16"/>
      <c r="G184" s="17"/>
      <c r="J184" s="5"/>
      <c r="K184" s="5"/>
      <c r="L184" s="5"/>
    </row>
    <row r="185" ht="15.75" customHeight="1">
      <c r="A185" s="25"/>
      <c r="F185" s="16"/>
      <c r="G185" s="17"/>
      <c r="J185" s="5"/>
      <c r="K185" s="5"/>
      <c r="L185" s="5"/>
    </row>
    <row r="186" ht="15.75" customHeight="1">
      <c r="A186" s="25"/>
      <c r="F186" s="16"/>
      <c r="G186" s="17"/>
      <c r="J186" s="5"/>
      <c r="K186" s="5"/>
      <c r="L186" s="5"/>
    </row>
    <row r="187" ht="15.75" customHeight="1">
      <c r="A187" s="25"/>
      <c r="F187" s="16"/>
      <c r="G187" s="17"/>
      <c r="J187" s="5"/>
      <c r="K187" s="5"/>
      <c r="L187" s="5"/>
    </row>
    <row r="188" ht="15.75" customHeight="1">
      <c r="A188" s="25"/>
      <c r="F188" s="16"/>
      <c r="G188" s="17"/>
      <c r="J188" s="5"/>
      <c r="K188" s="5"/>
      <c r="L188" s="5"/>
    </row>
    <row r="189" ht="15.75" customHeight="1">
      <c r="A189" s="25"/>
      <c r="F189" s="16"/>
      <c r="G189" s="17"/>
      <c r="J189" s="5"/>
      <c r="K189" s="5"/>
      <c r="L189" s="5"/>
    </row>
    <row r="190" ht="15.75" customHeight="1">
      <c r="A190" s="25"/>
      <c r="F190" s="16"/>
      <c r="G190" s="17"/>
      <c r="J190" s="5"/>
      <c r="K190" s="5"/>
      <c r="L190" s="5"/>
    </row>
    <row r="191" ht="15.75" customHeight="1">
      <c r="A191" s="25"/>
      <c r="F191" s="16"/>
      <c r="G191" s="17"/>
      <c r="J191" s="5"/>
      <c r="K191" s="5"/>
      <c r="L191" s="5"/>
    </row>
    <row r="192" ht="15.75" customHeight="1">
      <c r="A192" s="25"/>
      <c r="F192" s="16"/>
      <c r="G192" s="17"/>
      <c r="J192" s="5"/>
      <c r="K192" s="5"/>
      <c r="L192" s="5"/>
    </row>
    <row r="193" ht="15.75" customHeight="1">
      <c r="A193" s="25"/>
      <c r="F193" s="16"/>
      <c r="G193" s="17"/>
      <c r="J193" s="5"/>
      <c r="K193" s="5"/>
      <c r="L193" s="5"/>
    </row>
    <row r="194" ht="15.75" customHeight="1">
      <c r="A194" s="25"/>
      <c r="F194" s="16"/>
      <c r="G194" s="17"/>
      <c r="J194" s="5"/>
      <c r="K194" s="5"/>
      <c r="L194" s="5"/>
    </row>
    <row r="195" ht="15.75" customHeight="1">
      <c r="A195" s="25"/>
      <c r="F195" s="16"/>
      <c r="G195" s="17"/>
      <c r="J195" s="5"/>
      <c r="K195" s="5"/>
      <c r="L195" s="5"/>
    </row>
    <row r="196" ht="15.75" customHeight="1">
      <c r="A196" s="25"/>
      <c r="F196" s="16"/>
      <c r="G196" s="17"/>
      <c r="J196" s="5"/>
      <c r="K196" s="5"/>
      <c r="L196" s="5"/>
    </row>
    <row r="197" ht="15.75" customHeight="1">
      <c r="A197" s="25"/>
      <c r="F197" s="16"/>
      <c r="G197" s="17"/>
      <c r="J197" s="5"/>
      <c r="K197" s="5"/>
      <c r="L197" s="5"/>
    </row>
    <row r="198" ht="15.75" customHeight="1">
      <c r="A198" s="25"/>
      <c r="F198" s="16"/>
      <c r="G198" s="17"/>
      <c r="J198" s="5"/>
      <c r="K198" s="5"/>
      <c r="L198" s="5"/>
    </row>
    <row r="199" ht="15.75" customHeight="1">
      <c r="A199" s="25"/>
      <c r="F199" s="16"/>
      <c r="G199" s="17"/>
      <c r="J199" s="5"/>
      <c r="K199" s="5"/>
      <c r="L199" s="5"/>
    </row>
    <row r="200" ht="15.75" customHeight="1">
      <c r="A200" s="25"/>
      <c r="F200" s="16"/>
      <c r="G200" s="17"/>
      <c r="J200" s="5"/>
      <c r="K200" s="5"/>
      <c r="L200" s="5"/>
    </row>
    <row r="201" ht="15.75" customHeight="1">
      <c r="A201" s="25"/>
      <c r="F201" s="16"/>
      <c r="G201" s="17"/>
      <c r="J201" s="5"/>
      <c r="K201" s="5"/>
      <c r="L201" s="5"/>
    </row>
    <row r="202" ht="15.75" customHeight="1">
      <c r="A202" s="25"/>
      <c r="F202" s="16"/>
      <c r="G202" s="17"/>
      <c r="J202" s="5"/>
      <c r="K202" s="5"/>
      <c r="L202" s="5"/>
    </row>
    <row r="203" ht="15.75" customHeight="1">
      <c r="A203" s="25"/>
      <c r="F203" s="16"/>
      <c r="G203" s="17"/>
      <c r="J203" s="5"/>
      <c r="K203" s="5"/>
      <c r="L203" s="5"/>
    </row>
    <row r="204" ht="15.75" customHeight="1">
      <c r="A204" s="25"/>
      <c r="F204" s="16"/>
      <c r="G204" s="17"/>
      <c r="J204" s="5"/>
      <c r="K204" s="5"/>
      <c r="L204" s="5"/>
    </row>
    <row r="205" ht="15.75" customHeight="1">
      <c r="A205" s="25"/>
      <c r="F205" s="16"/>
      <c r="G205" s="17"/>
      <c r="J205" s="5"/>
      <c r="K205" s="5"/>
      <c r="L205" s="5"/>
    </row>
    <row r="206" ht="15.75" customHeight="1">
      <c r="A206" s="25"/>
      <c r="F206" s="16"/>
      <c r="G206" s="17"/>
      <c r="J206" s="5"/>
      <c r="K206" s="5"/>
      <c r="L206" s="5"/>
    </row>
    <row r="207" ht="15.75" customHeight="1">
      <c r="A207" s="25"/>
      <c r="F207" s="16"/>
      <c r="G207" s="17"/>
      <c r="J207" s="5"/>
      <c r="K207" s="5"/>
      <c r="L207" s="5"/>
    </row>
    <row r="208" ht="15.75" customHeight="1">
      <c r="A208" s="25"/>
      <c r="F208" s="16"/>
      <c r="G208" s="17"/>
      <c r="J208" s="5"/>
      <c r="K208" s="5"/>
      <c r="L208" s="5"/>
    </row>
    <row r="209" ht="15.75" customHeight="1">
      <c r="A209" s="25"/>
      <c r="F209" s="16"/>
      <c r="G209" s="17"/>
      <c r="J209" s="5"/>
      <c r="K209" s="5"/>
      <c r="L209" s="5"/>
    </row>
    <row r="210" ht="15.75" customHeight="1">
      <c r="A210" s="25"/>
      <c r="F210" s="16"/>
      <c r="G210" s="17"/>
      <c r="J210" s="5"/>
      <c r="K210" s="5"/>
      <c r="L210" s="5"/>
    </row>
    <row r="211" ht="15.75" customHeight="1">
      <c r="A211" s="25"/>
      <c r="F211" s="16"/>
      <c r="G211" s="17"/>
      <c r="J211" s="5"/>
      <c r="K211" s="5"/>
      <c r="L211" s="5"/>
    </row>
    <row r="212" ht="15.75" customHeight="1">
      <c r="A212" s="25"/>
      <c r="F212" s="16"/>
      <c r="G212" s="17"/>
      <c r="J212" s="5"/>
      <c r="K212" s="5"/>
      <c r="L212" s="5"/>
    </row>
    <row r="213" ht="15.75" customHeight="1">
      <c r="A213" s="25"/>
      <c r="F213" s="16"/>
      <c r="G213" s="17"/>
      <c r="J213" s="5"/>
      <c r="K213" s="5"/>
      <c r="L213" s="5"/>
    </row>
    <row r="214" ht="15.75" customHeight="1">
      <c r="A214" s="25"/>
      <c r="F214" s="16"/>
      <c r="G214" s="17"/>
      <c r="J214" s="5"/>
      <c r="K214" s="5"/>
      <c r="L214" s="5"/>
    </row>
    <row r="215" ht="15.75" customHeight="1">
      <c r="A215" s="25"/>
      <c r="F215" s="16"/>
      <c r="G215" s="17"/>
      <c r="J215" s="5"/>
      <c r="K215" s="5"/>
      <c r="L215" s="5"/>
    </row>
    <row r="216" ht="15.75" customHeight="1">
      <c r="A216" s="25"/>
      <c r="F216" s="16"/>
      <c r="G216" s="17"/>
      <c r="J216" s="5"/>
      <c r="K216" s="5"/>
      <c r="L216" s="5"/>
    </row>
    <row r="217" ht="15.75" customHeight="1">
      <c r="A217" s="25"/>
      <c r="F217" s="16"/>
      <c r="G217" s="17"/>
      <c r="J217" s="5"/>
      <c r="K217" s="5"/>
      <c r="L217" s="5"/>
    </row>
    <row r="218" ht="15.75" customHeight="1">
      <c r="A218" s="25"/>
      <c r="F218" s="16"/>
      <c r="G218" s="17"/>
      <c r="J218" s="5"/>
      <c r="K218" s="5"/>
      <c r="L218" s="5"/>
    </row>
    <row r="219" ht="15.75" customHeight="1">
      <c r="A219" s="25"/>
      <c r="F219" s="16"/>
      <c r="G219" s="17"/>
      <c r="J219" s="5"/>
      <c r="K219" s="5"/>
      <c r="L219" s="5"/>
    </row>
    <row r="220" ht="15.75" customHeight="1">
      <c r="A220" s="25"/>
      <c r="F220" s="16"/>
      <c r="G220" s="17"/>
      <c r="J220" s="5"/>
      <c r="K220" s="5"/>
      <c r="L220" s="5"/>
    </row>
    <row r="221" ht="15.75" customHeight="1">
      <c r="J221" s="5"/>
      <c r="K221" s="5"/>
      <c r="L221" s="5"/>
    </row>
    <row r="222" ht="15.75" customHeight="1">
      <c r="J222" s="5"/>
      <c r="K222" s="5"/>
      <c r="L222" s="5"/>
    </row>
    <row r="223" ht="15.75" customHeight="1">
      <c r="J223" s="5"/>
      <c r="K223" s="5"/>
      <c r="L223" s="5"/>
    </row>
    <row r="224" ht="15.75" customHeight="1">
      <c r="J224" s="5"/>
      <c r="K224" s="5"/>
      <c r="L224" s="5"/>
    </row>
    <row r="225" ht="15.75" customHeight="1">
      <c r="J225" s="5"/>
      <c r="K225" s="5"/>
      <c r="L225" s="5"/>
    </row>
    <row r="226" ht="15.75" customHeight="1">
      <c r="J226" s="5"/>
      <c r="K226" s="5"/>
      <c r="L226" s="5"/>
    </row>
    <row r="227" ht="15.75" customHeight="1">
      <c r="J227" s="5"/>
      <c r="K227" s="5"/>
      <c r="L227" s="5"/>
    </row>
    <row r="228" ht="15.75" customHeight="1">
      <c r="J228" s="5"/>
      <c r="K228" s="5"/>
      <c r="L228" s="5"/>
    </row>
    <row r="229" ht="15.75" customHeight="1">
      <c r="J229" s="5"/>
      <c r="K229" s="5"/>
      <c r="L229" s="5"/>
    </row>
    <row r="230" ht="15.75" customHeight="1">
      <c r="J230" s="5"/>
      <c r="K230" s="5"/>
      <c r="L230" s="5"/>
    </row>
    <row r="231" ht="15.75" customHeight="1">
      <c r="J231" s="5"/>
      <c r="K231" s="5"/>
      <c r="L231" s="5"/>
    </row>
    <row r="232" ht="15.75" customHeight="1">
      <c r="J232" s="5"/>
      <c r="K232" s="5"/>
      <c r="L232" s="5"/>
    </row>
    <row r="233" ht="15.75" customHeight="1">
      <c r="J233" s="5"/>
      <c r="K233" s="5"/>
      <c r="L233" s="5"/>
    </row>
    <row r="234" ht="15.75" customHeight="1">
      <c r="J234" s="5"/>
      <c r="K234" s="5"/>
      <c r="L234" s="5"/>
    </row>
    <row r="235" ht="15.75" customHeight="1">
      <c r="J235" s="5"/>
      <c r="K235" s="5"/>
      <c r="L235" s="5"/>
    </row>
    <row r="236" ht="15.75" customHeight="1">
      <c r="J236" s="5"/>
      <c r="K236" s="5"/>
      <c r="L236" s="5"/>
    </row>
    <row r="237" ht="15.75" customHeight="1">
      <c r="J237" s="5"/>
      <c r="K237" s="5"/>
      <c r="L237" s="5"/>
    </row>
    <row r="238" ht="15.75" customHeight="1">
      <c r="J238" s="5"/>
      <c r="K238" s="5"/>
      <c r="L238" s="5"/>
    </row>
    <row r="239" ht="15.75" customHeight="1">
      <c r="J239" s="5"/>
      <c r="K239" s="5"/>
      <c r="L239" s="5"/>
    </row>
    <row r="240" ht="15.75" customHeight="1">
      <c r="J240" s="5"/>
      <c r="K240" s="5"/>
      <c r="L240" s="5"/>
    </row>
    <row r="241" ht="15.75" customHeight="1">
      <c r="J241" s="5"/>
      <c r="K241" s="5"/>
      <c r="L241" s="5"/>
    </row>
    <row r="242" ht="15.75" customHeight="1">
      <c r="J242" s="5"/>
      <c r="K242" s="5"/>
      <c r="L242" s="5"/>
    </row>
    <row r="243" ht="15.75" customHeight="1">
      <c r="J243" s="5"/>
      <c r="K243" s="5"/>
      <c r="L243" s="5"/>
    </row>
    <row r="244" ht="15.75" customHeight="1">
      <c r="J244" s="5"/>
      <c r="K244" s="5"/>
      <c r="L244" s="5"/>
    </row>
    <row r="245" ht="15.75" customHeight="1">
      <c r="J245" s="5"/>
      <c r="K245" s="5"/>
      <c r="L245" s="5"/>
    </row>
    <row r="246" ht="15.75" customHeight="1">
      <c r="J246" s="5"/>
      <c r="K246" s="5"/>
      <c r="L246" s="5"/>
    </row>
    <row r="247" ht="15.75" customHeight="1">
      <c r="J247" s="5"/>
      <c r="K247" s="5"/>
      <c r="L247" s="5"/>
    </row>
    <row r="248" ht="15.75" customHeight="1">
      <c r="J248" s="5"/>
      <c r="K248" s="5"/>
      <c r="L248" s="5"/>
    </row>
    <row r="249" ht="15.75" customHeight="1">
      <c r="J249" s="5"/>
      <c r="K249" s="5"/>
      <c r="L249" s="5"/>
    </row>
    <row r="250" ht="15.75" customHeight="1">
      <c r="J250" s="5"/>
      <c r="K250" s="5"/>
      <c r="L250" s="5"/>
    </row>
    <row r="251" ht="15.75" customHeight="1">
      <c r="J251" s="5"/>
      <c r="K251" s="5"/>
      <c r="L251" s="5"/>
    </row>
    <row r="252" ht="15.75" customHeight="1">
      <c r="J252" s="5"/>
      <c r="K252" s="5"/>
      <c r="L252" s="5"/>
    </row>
    <row r="253" ht="15.75" customHeight="1">
      <c r="J253" s="5"/>
      <c r="K253" s="5"/>
      <c r="L253" s="5"/>
    </row>
    <row r="254" ht="15.75" customHeight="1">
      <c r="J254" s="5"/>
      <c r="K254" s="5"/>
      <c r="L254" s="5"/>
    </row>
    <row r="255" ht="15.75" customHeight="1">
      <c r="J255" s="5"/>
      <c r="K255" s="5"/>
      <c r="L255" s="5"/>
    </row>
    <row r="256" ht="15.75" customHeight="1">
      <c r="J256" s="5"/>
      <c r="K256" s="5"/>
      <c r="L256" s="5"/>
    </row>
    <row r="257" ht="15.75" customHeight="1">
      <c r="J257" s="5"/>
      <c r="K257" s="5"/>
      <c r="L257" s="5"/>
    </row>
    <row r="258" ht="15.75" customHeight="1">
      <c r="J258" s="5"/>
      <c r="K258" s="5"/>
      <c r="L258" s="5"/>
    </row>
    <row r="259" ht="15.75" customHeight="1">
      <c r="J259" s="5"/>
      <c r="K259" s="5"/>
      <c r="L259" s="5"/>
    </row>
    <row r="260" ht="15.75" customHeight="1">
      <c r="J260" s="5"/>
      <c r="K260" s="5"/>
      <c r="L260" s="5"/>
    </row>
    <row r="261" ht="15.75" customHeight="1">
      <c r="J261" s="5"/>
      <c r="K261" s="5"/>
      <c r="L261" s="5"/>
    </row>
    <row r="262" ht="15.75" customHeight="1">
      <c r="J262" s="5"/>
      <c r="K262" s="5"/>
      <c r="L262" s="5"/>
    </row>
    <row r="263" ht="15.75" customHeight="1">
      <c r="J263" s="5"/>
      <c r="K263" s="5"/>
      <c r="L263" s="5"/>
    </row>
    <row r="264" ht="15.75" customHeight="1">
      <c r="J264" s="5"/>
      <c r="K264" s="5"/>
      <c r="L264" s="5"/>
    </row>
    <row r="265" ht="15.75" customHeight="1">
      <c r="J265" s="5"/>
      <c r="K265" s="5"/>
      <c r="L265" s="5"/>
    </row>
    <row r="266" ht="15.75" customHeight="1">
      <c r="J266" s="5"/>
      <c r="K266" s="5"/>
      <c r="L266" s="5"/>
    </row>
    <row r="267" ht="15.75" customHeight="1">
      <c r="J267" s="5"/>
      <c r="K267" s="5"/>
      <c r="L267" s="5"/>
    </row>
    <row r="268" ht="15.75" customHeight="1">
      <c r="J268" s="5"/>
      <c r="K268" s="5"/>
      <c r="L268" s="5"/>
    </row>
    <row r="269" ht="15.75" customHeight="1">
      <c r="J269" s="5"/>
      <c r="K269" s="5"/>
      <c r="L269" s="5"/>
    </row>
    <row r="270" ht="15.75" customHeight="1">
      <c r="J270" s="5"/>
      <c r="K270" s="5"/>
      <c r="L270" s="5"/>
    </row>
    <row r="271" ht="15.75" customHeight="1">
      <c r="J271" s="5"/>
      <c r="K271" s="5"/>
      <c r="L271" s="5"/>
    </row>
    <row r="272" ht="15.75" customHeight="1">
      <c r="J272" s="5"/>
      <c r="K272" s="5"/>
      <c r="L272" s="5"/>
    </row>
    <row r="273" ht="15.75" customHeight="1">
      <c r="J273" s="5"/>
      <c r="K273" s="5"/>
      <c r="L273" s="5"/>
    </row>
    <row r="274" ht="15.75" customHeight="1">
      <c r="J274" s="5"/>
      <c r="K274" s="5"/>
      <c r="L274" s="5"/>
    </row>
    <row r="275" ht="15.75" customHeight="1">
      <c r="J275" s="5"/>
      <c r="K275" s="5"/>
      <c r="L275" s="5"/>
    </row>
    <row r="276" ht="15.75" customHeight="1">
      <c r="J276" s="5"/>
      <c r="K276" s="5"/>
      <c r="L276" s="5"/>
    </row>
    <row r="277" ht="15.75" customHeight="1">
      <c r="J277" s="5"/>
      <c r="K277" s="5"/>
      <c r="L277" s="5"/>
    </row>
    <row r="278" ht="15.75" customHeight="1">
      <c r="J278" s="5"/>
      <c r="K278" s="5"/>
      <c r="L278" s="5"/>
    </row>
    <row r="279" ht="15.75" customHeight="1">
      <c r="J279" s="5"/>
      <c r="K279" s="5"/>
      <c r="L279" s="5"/>
    </row>
    <row r="280" ht="15.75" customHeight="1">
      <c r="J280" s="5"/>
      <c r="K280" s="5"/>
      <c r="L280" s="5"/>
    </row>
    <row r="281" ht="15.75" customHeight="1">
      <c r="J281" s="5"/>
      <c r="K281" s="5"/>
      <c r="L281" s="5"/>
    </row>
    <row r="282" ht="15.75" customHeight="1">
      <c r="J282" s="5"/>
      <c r="K282" s="5"/>
      <c r="L282" s="5"/>
    </row>
    <row r="283" ht="15.75" customHeight="1">
      <c r="J283" s="5"/>
      <c r="K283" s="5"/>
      <c r="L283" s="5"/>
    </row>
    <row r="284" ht="15.75" customHeight="1">
      <c r="J284" s="5"/>
      <c r="K284" s="5"/>
      <c r="L284" s="5"/>
    </row>
    <row r="285" ht="15.75" customHeight="1">
      <c r="J285" s="5"/>
      <c r="K285" s="5"/>
      <c r="L285" s="5"/>
    </row>
    <row r="286" ht="15.75" customHeight="1">
      <c r="J286" s="5"/>
      <c r="K286" s="5"/>
      <c r="L286" s="5"/>
    </row>
    <row r="287" ht="15.75" customHeight="1">
      <c r="J287" s="5"/>
      <c r="K287" s="5"/>
      <c r="L287" s="5"/>
    </row>
    <row r="288" ht="15.75" customHeight="1">
      <c r="J288" s="5"/>
      <c r="K288" s="5"/>
      <c r="L288" s="5"/>
    </row>
    <row r="289" ht="15.75" customHeight="1">
      <c r="J289" s="5"/>
      <c r="K289" s="5"/>
      <c r="L289" s="5"/>
    </row>
    <row r="290" ht="15.75" customHeight="1">
      <c r="J290" s="5"/>
      <c r="K290" s="5"/>
      <c r="L290" s="5"/>
    </row>
    <row r="291" ht="15.75" customHeight="1">
      <c r="J291" s="5"/>
      <c r="K291" s="5"/>
      <c r="L291" s="5"/>
    </row>
    <row r="292" ht="15.75" customHeight="1">
      <c r="J292" s="5"/>
      <c r="K292" s="5"/>
      <c r="L292" s="5"/>
    </row>
    <row r="293" ht="15.75" customHeight="1">
      <c r="J293" s="5"/>
      <c r="K293" s="5"/>
      <c r="L293" s="5"/>
    </row>
    <row r="294" ht="15.75" customHeight="1">
      <c r="J294" s="5"/>
      <c r="K294" s="5"/>
      <c r="L294" s="5"/>
    </row>
    <row r="295" ht="15.75" customHeight="1">
      <c r="J295" s="5"/>
      <c r="K295" s="5"/>
      <c r="L295" s="5"/>
    </row>
    <row r="296" ht="15.75" customHeight="1">
      <c r="J296" s="5"/>
      <c r="K296" s="5"/>
      <c r="L296" s="5"/>
    </row>
    <row r="297" ht="15.75" customHeight="1">
      <c r="J297" s="5"/>
      <c r="K297" s="5"/>
      <c r="L297" s="5"/>
    </row>
    <row r="298" ht="15.75" customHeight="1">
      <c r="J298" s="5"/>
      <c r="K298" s="5"/>
      <c r="L298" s="5"/>
    </row>
    <row r="299" ht="15.75" customHeight="1">
      <c r="J299" s="5"/>
      <c r="K299" s="5"/>
      <c r="L299" s="5"/>
    </row>
    <row r="300" ht="15.75" customHeight="1">
      <c r="J300" s="5"/>
      <c r="K300" s="5"/>
      <c r="L300" s="5"/>
    </row>
    <row r="301" ht="15.75" customHeight="1">
      <c r="J301" s="5"/>
      <c r="K301" s="5"/>
      <c r="L301" s="5"/>
    </row>
    <row r="302" ht="15.75" customHeight="1">
      <c r="J302" s="5"/>
      <c r="K302" s="5"/>
      <c r="L302" s="5"/>
    </row>
    <row r="303" ht="15.75" customHeight="1">
      <c r="J303" s="5"/>
      <c r="K303" s="5"/>
      <c r="L303" s="5"/>
    </row>
    <row r="304" ht="15.75" customHeight="1">
      <c r="J304" s="5"/>
      <c r="K304" s="5"/>
      <c r="L304" s="5"/>
    </row>
    <row r="305" ht="15.75" customHeight="1">
      <c r="J305" s="5"/>
      <c r="K305" s="5"/>
      <c r="L305" s="5"/>
    </row>
    <row r="306" ht="15.75" customHeight="1">
      <c r="J306" s="5"/>
      <c r="K306" s="5"/>
      <c r="L306" s="5"/>
    </row>
    <row r="307" ht="15.75" customHeight="1">
      <c r="J307" s="5"/>
      <c r="K307" s="5"/>
      <c r="L307" s="5"/>
    </row>
    <row r="308" ht="15.75" customHeight="1">
      <c r="J308" s="5"/>
      <c r="K308" s="5"/>
      <c r="L308" s="5"/>
    </row>
    <row r="309" ht="15.75" customHeight="1">
      <c r="J309" s="5"/>
      <c r="K309" s="5"/>
      <c r="L309" s="5"/>
    </row>
    <row r="310" ht="15.75" customHeight="1">
      <c r="J310" s="5"/>
      <c r="K310" s="5"/>
      <c r="L310" s="5"/>
    </row>
    <row r="311" ht="15.75" customHeight="1">
      <c r="J311" s="5"/>
      <c r="K311" s="5"/>
      <c r="L311" s="5"/>
    </row>
    <row r="312" ht="15.75" customHeight="1">
      <c r="J312" s="5"/>
      <c r="K312" s="5"/>
      <c r="L312" s="5"/>
    </row>
    <row r="313" ht="15.75" customHeight="1">
      <c r="J313" s="5"/>
      <c r="K313" s="5"/>
      <c r="L313" s="5"/>
    </row>
    <row r="314" ht="15.75" customHeight="1">
      <c r="J314" s="5"/>
      <c r="K314" s="5"/>
      <c r="L314" s="5"/>
    </row>
    <row r="315" ht="15.75" customHeight="1">
      <c r="J315" s="5"/>
      <c r="K315" s="5"/>
      <c r="L315" s="5"/>
    </row>
    <row r="316" ht="15.75" customHeight="1">
      <c r="J316" s="5"/>
      <c r="K316" s="5"/>
      <c r="L316" s="5"/>
    </row>
    <row r="317" ht="15.75" customHeight="1">
      <c r="J317" s="5"/>
      <c r="K317" s="5"/>
      <c r="L317" s="5"/>
    </row>
    <row r="318" ht="15.75" customHeight="1">
      <c r="J318" s="5"/>
      <c r="K318" s="5"/>
      <c r="L318" s="5"/>
    </row>
    <row r="319" ht="15.75" customHeight="1">
      <c r="J319" s="5"/>
      <c r="K319" s="5"/>
      <c r="L319" s="5"/>
    </row>
    <row r="320" ht="15.75" customHeight="1">
      <c r="J320" s="5"/>
      <c r="K320" s="5"/>
      <c r="L320" s="5"/>
    </row>
    <row r="321" ht="15.75" customHeight="1">
      <c r="J321" s="5"/>
      <c r="K321" s="5"/>
      <c r="L321" s="5"/>
    </row>
    <row r="322" ht="15.75" customHeight="1">
      <c r="J322" s="5"/>
      <c r="K322" s="5"/>
      <c r="L322" s="5"/>
    </row>
    <row r="323" ht="15.75" customHeight="1">
      <c r="J323" s="5"/>
      <c r="K323" s="5"/>
      <c r="L323" s="5"/>
    </row>
    <row r="324" ht="15.75" customHeight="1">
      <c r="J324" s="5"/>
      <c r="K324" s="5"/>
      <c r="L324" s="5"/>
    </row>
    <row r="325" ht="15.75" customHeight="1">
      <c r="J325" s="5"/>
      <c r="K325" s="5"/>
      <c r="L325" s="5"/>
    </row>
    <row r="326" ht="15.75" customHeight="1">
      <c r="J326" s="5"/>
      <c r="K326" s="5"/>
      <c r="L326" s="5"/>
    </row>
    <row r="327" ht="15.75" customHeight="1">
      <c r="J327" s="5"/>
      <c r="K327" s="5"/>
      <c r="L327" s="5"/>
    </row>
    <row r="328" ht="15.75" customHeight="1">
      <c r="J328" s="5"/>
      <c r="K328" s="5"/>
      <c r="L328" s="5"/>
    </row>
    <row r="329" ht="15.75" customHeight="1">
      <c r="J329" s="5"/>
      <c r="K329" s="5"/>
      <c r="L329" s="5"/>
    </row>
    <row r="330" ht="15.75" customHeight="1">
      <c r="J330" s="5"/>
      <c r="K330" s="5"/>
      <c r="L330" s="5"/>
    </row>
    <row r="331" ht="15.75" customHeight="1">
      <c r="J331" s="5"/>
      <c r="K331" s="5"/>
      <c r="L331" s="5"/>
    </row>
    <row r="332" ht="15.75" customHeight="1">
      <c r="J332" s="5"/>
      <c r="K332" s="5"/>
      <c r="L332" s="5"/>
    </row>
    <row r="333" ht="15.75" customHeight="1">
      <c r="J333" s="5"/>
      <c r="K333" s="5"/>
      <c r="L333" s="5"/>
    </row>
    <row r="334" ht="15.75" customHeight="1">
      <c r="J334" s="5"/>
      <c r="K334" s="5"/>
      <c r="L334" s="5"/>
    </row>
    <row r="335" ht="15.75" customHeight="1">
      <c r="J335" s="5"/>
      <c r="K335" s="5"/>
      <c r="L335" s="5"/>
    </row>
    <row r="336" ht="15.75" customHeight="1">
      <c r="J336" s="5"/>
      <c r="K336" s="5"/>
      <c r="L336" s="5"/>
    </row>
    <row r="337" ht="15.75" customHeight="1">
      <c r="J337" s="5"/>
      <c r="K337" s="5"/>
      <c r="L337" s="5"/>
    </row>
    <row r="338" ht="15.75" customHeight="1">
      <c r="J338" s="5"/>
      <c r="K338" s="5"/>
      <c r="L338" s="5"/>
    </row>
    <row r="339" ht="15.75" customHeight="1">
      <c r="J339" s="5"/>
      <c r="K339" s="5"/>
      <c r="L339" s="5"/>
    </row>
    <row r="340" ht="15.75" customHeight="1">
      <c r="J340" s="5"/>
      <c r="K340" s="5"/>
      <c r="L340" s="5"/>
    </row>
    <row r="341" ht="15.75" customHeight="1">
      <c r="J341" s="5"/>
      <c r="K341" s="5"/>
      <c r="L341" s="5"/>
    </row>
    <row r="342" ht="15.75" customHeight="1">
      <c r="J342" s="5"/>
      <c r="K342" s="5"/>
      <c r="L342" s="5"/>
    </row>
    <row r="343" ht="15.75" customHeight="1">
      <c r="J343" s="5"/>
      <c r="K343" s="5"/>
      <c r="L343" s="5"/>
    </row>
    <row r="344" ht="15.75" customHeight="1">
      <c r="J344" s="5"/>
      <c r="K344" s="5"/>
      <c r="L344" s="5"/>
    </row>
    <row r="345" ht="15.75" customHeight="1">
      <c r="J345" s="5"/>
      <c r="K345" s="5"/>
      <c r="L345" s="5"/>
    </row>
    <row r="346" ht="15.75" customHeight="1">
      <c r="J346" s="5"/>
      <c r="K346" s="5"/>
      <c r="L346" s="5"/>
    </row>
    <row r="347" ht="15.75" customHeight="1">
      <c r="J347" s="5"/>
      <c r="K347" s="5"/>
      <c r="L347" s="5"/>
    </row>
    <row r="348" ht="15.75" customHeight="1">
      <c r="J348" s="5"/>
      <c r="K348" s="5"/>
      <c r="L348" s="5"/>
    </row>
    <row r="349" ht="15.75" customHeight="1">
      <c r="J349" s="5"/>
      <c r="K349" s="5"/>
      <c r="L349" s="5"/>
    </row>
    <row r="350" ht="15.75" customHeight="1">
      <c r="J350" s="5"/>
      <c r="K350" s="5"/>
      <c r="L350" s="5"/>
    </row>
    <row r="351" ht="15.75" customHeight="1">
      <c r="J351" s="5"/>
      <c r="K351" s="5"/>
      <c r="L351" s="5"/>
    </row>
    <row r="352" ht="15.75" customHeight="1">
      <c r="J352" s="5"/>
      <c r="K352" s="5"/>
      <c r="L352" s="5"/>
    </row>
    <row r="353" ht="15.75" customHeight="1">
      <c r="J353" s="5"/>
      <c r="K353" s="5"/>
      <c r="L353" s="5"/>
    </row>
    <row r="354" ht="15.75" customHeight="1">
      <c r="J354" s="5"/>
      <c r="K354" s="5"/>
      <c r="L354" s="5"/>
    </row>
    <row r="355" ht="15.75" customHeight="1">
      <c r="J355" s="5"/>
      <c r="K355" s="5"/>
      <c r="L355" s="5"/>
    </row>
    <row r="356" ht="15.75" customHeight="1">
      <c r="J356" s="5"/>
      <c r="K356" s="5"/>
      <c r="L356" s="5"/>
    </row>
    <row r="357" ht="15.75" customHeight="1">
      <c r="J357" s="5"/>
      <c r="K357" s="5"/>
      <c r="L357" s="5"/>
    </row>
    <row r="358" ht="15.75" customHeight="1">
      <c r="J358" s="5"/>
      <c r="K358" s="5"/>
      <c r="L358" s="5"/>
    </row>
    <row r="359" ht="15.75" customHeight="1">
      <c r="J359" s="5"/>
      <c r="K359" s="5"/>
      <c r="L359" s="5"/>
    </row>
    <row r="360" ht="15.75" customHeight="1">
      <c r="J360" s="5"/>
      <c r="K360" s="5"/>
      <c r="L360" s="5"/>
    </row>
    <row r="361" ht="15.75" customHeight="1">
      <c r="J361" s="5"/>
      <c r="K361" s="5"/>
      <c r="L361" s="5"/>
    </row>
    <row r="362" ht="15.75" customHeight="1">
      <c r="J362" s="5"/>
      <c r="K362" s="5"/>
      <c r="L362" s="5"/>
    </row>
    <row r="363" ht="15.75" customHeight="1">
      <c r="J363" s="5"/>
      <c r="K363" s="5"/>
      <c r="L363" s="5"/>
    </row>
    <row r="364" ht="15.75" customHeight="1">
      <c r="J364" s="5"/>
      <c r="K364" s="5"/>
      <c r="L364" s="5"/>
    </row>
    <row r="365" ht="15.75" customHeight="1">
      <c r="J365" s="5"/>
      <c r="K365" s="5"/>
      <c r="L365" s="5"/>
    </row>
    <row r="366" ht="15.75" customHeight="1">
      <c r="J366" s="5"/>
      <c r="K366" s="5"/>
      <c r="L366" s="5"/>
    </row>
    <row r="367" ht="15.75" customHeight="1">
      <c r="J367" s="5"/>
      <c r="K367" s="5"/>
      <c r="L367" s="5"/>
    </row>
    <row r="368" ht="15.75" customHeight="1">
      <c r="J368" s="5"/>
      <c r="K368" s="5"/>
      <c r="L368" s="5"/>
    </row>
    <row r="369" ht="15.75" customHeight="1">
      <c r="J369" s="5"/>
      <c r="K369" s="5"/>
      <c r="L369" s="5"/>
    </row>
    <row r="370" ht="15.75" customHeight="1">
      <c r="J370" s="5"/>
      <c r="K370" s="5"/>
      <c r="L370" s="5"/>
    </row>
    <row r="371" ht="15.75" customHeight="1">
      <c r="J371" s="5"/>
      <c r="K371" s="5"/>
      <c r="L371" s="5"/>
    </row>
    <row r="372" ht="15.75" customHeight="1">
      <c r="J372" s="5"/>
      <c r="K372" s="5"/>
      <c r="L372" s="5"/>
    </row>
    <row r="373" ht="15.75" customHeight="1">
      <c r="J373" s="5"/>
      <c r="K373" s="5"/>
      <c r="L373" s="5"/>
    </row>
    <row r="374" ht="15.75" customHeight="1">
      <c r="J374" s="5"/>
      <c r="K374" s="5"/>
      <c r="L374" s="5"/>
    </row>
    <row r="375" ht="15.75" customHeight="1">
      <c r="J375" s="5"/>
      <c r="K375" s="5"/>
      <c r="L375" s="5"/>
    </row>
    <row r="376" ht="15.75" customHeight="1">
      <c r="J376" s="5"/>
      <c r="K376" s="5"/>
      <c r="L376" s="5"/>
    </row>
    <row r="377" ht="15.75" customHeight="1">
      <c r="J377" s="5"/>
      <c r="K377" s="5"/>
      <c r="L377" s="5"/>
    </row>
    <row r="378" ht="15.75" customHeight="1">
      <c r="J378" s="5"/>
      <c r="K378" s="5"/>
      <c r="L378" s="5"/>
    </row>
    <row r="379" ht="15.75" customHeight="1">
      <c r="J379" s="5"/>
      <c r="K379" s="5"/>
      <c r="L379" s="5"/>
    </row>
    <row r="380" ht="15.75" customHeight="1">
      <c r="J380" s="5"/>
      <c r="K380" s="5"/>
      <c r="L380" s="5"/>
    </row>
    <row r="381" ht="15.75" customHeight="1">
      <c r="J381" s="5"/>
      <c r="K381" s="5"/>
      <c r="L381" s="5"/>
    </row>
    <row r="382" ht="15.75" customHeight="1">
      <c r="J382" s="5"/>
      <c r="K382" s="5"/>
      <c r="L382" s="5"/>
    </row>
    <row r="383" ht="15.75" customHeight="1">
      <c r="J383" s="5"/>
      <c r="K383" s="5"/>
      <c r="L383" s="5"/>
    </row>
    <row r="384" ht="15.75" customHeight="1">
      <c r="J384" s="5"/>
      <c r="K384" s="5"/>
      <c r="L384" s="5"/>
    </row>
    <row r="385" ht="15.75" customHeight="1">
      <c r="J385" s="5"/>
      <c r="K385" s="5"/>
      <c r="L385" s="5"/>
    </row>
    <row r="386" ht="15.75" customHeight="1">
      <c r="J386" s="5"/>
      <c r="K386" s="5"/>
      <c r="L386" s="5"/>
    </row>
    <row r="387" ht="15.75" customHeight="1">
      <c r="J387" s="5"/>
      <c r="K387" s="5"/>
      <c r="L387" s="5"/>
    </row>
    <row r="388" ht="15.75" customHeight="1">
      <c r="J388" s="5"/>
      <c r="K388" s="5"/>
      <c r="L388" s="5"/>
    </row>
    <row r="389" ht="15.75" customHeight="1">
      <c r="J389" s="5"/>
      <c r="K389" s="5"/>
      <c r="L389" s="5"/>
    </row>
    <row r="390" ht="15.75" customHeight="1">
      <c r="J390" s="5"/>
      <c r="K390" s="5"/>
      <c r="L390" s="5"/>
    </row>
    <row r="391" ht="15.75" customHeight="1">
      <c r="J391" s="5"/>
      <c r="K391" s="5"/>
      <c r="L391" s="5"/>
    </row>
    <row r="392" ht="15.75" customHeight="1">
      <c r="J392" s="5"/>
      <c r="K392" s="5"/>
      <c r="L392" s="5"/>
    </row>
    <row r="393" ht="15.75" customHeight="1">
      <c r="J393" s="5"/>
      <c r="K393" s="5"/>
      <c r="L393" s="5"/>
    </row>
    <row r="394" ht="15.75" customHeight="1">
      <c r="J394" s="5"/>
      <c r="K394" s="5"/>
      <c r="L394" s="5"/>
    </row>
    <row r="395" ht="15.75" customHeight="1">
      <c r="J395" s="5"/>
      <c r="K395" s="5"/>
      <c r="L395" s="5"/>
    </row>
    <row r="396" ht="15.75" customHeight="1">
      <c r="J396" s="5"/>
      <c r="K396" s="5"/>
      <c r="L396" s="5"/>
    </row>
    <row r="397" ht="15.75" customHeight="1">
      <c r="J397" s="5"/>
      <c r="K397" s="5"/>
      <c r="L397" s="5"/>
    </row>
    <row r="398" ht="15.75" customHeight="1">
      <c r="J398" s="5"/>
      <c r="K398" s="5"/>
      <c r="L398" s="5"/>
    </row>
    <row r="399" ht="15.75" customHeight="1">
      <c r="J399" s="5"/>
      <c r="K399" s="5"/>
      <c r="L399" s="5"/>
    </row>
    <row r="400" ht="15.75" customHeight="1">
      <c r="J400" s="5"/>
      <c r="K400" s="5"/>
      <c r="L400" s="5"/>
    </row>
    <row r="401" ht="15.75" customHeight="1">
      <c r="J401" s="5"/>
      <c r="K401" s="5"/>
      <c r="L401" s="5"/>
    </row>
    <row r="402" ht="15.75" customHeight="1">
      <c r="J402" s="5"/>
      <c r="K402" s="5"/>
      <c r="L402" s="5"/>
    </row>
    <row r="403" ht="15.75" customHeight="1">
      <c r="J403" s="5"/>
      <c r="K403" s="5"/>
      <c r="L403" s="5"/>
    </row>
    <row r="404" ht="15.75" customHeight="1">
      <c r="J404" s="5"/>
      <c r="K404" s="5"/>
      <c r="L404" s="5"/>
    </row>
    <row r="405" ht="15.75" customHeight="1">
      <c r="J405" s="5"/>
      <c r="K405" s="5"/>
      <c r="L405" s="5"/>
    </row>
    <row r="406" ht="15.75" customHeight="1">
      <c r="J406" s="5"/>
      <c r="K406" s="5"/>
      <c r="L406" s="5"/>
    </row>
    <row r="407" ht="15.75" customHeight="1">
      <c r="J407" s="5"/>
      <c r="K407" s="5"/>
      <c r="L407" s="5"/>
    </row>
    <row r="408" ht="15.75" customHeight="1">
      <c r="J408" s="5"/>
      <c r="K408" s="5"/>
      <c r="L408" s="5"/>
    </row>
    <row r="409" ht="15.75" customHeight="1">
      <c r="J409" s="5"/>
      <c r="K409" s="5"/>
      <c r="L409" s="5"/>
    </row>
    <row r="410" ht="15.75" customHeight="1">
      <c r="J410" s="5"/>
      <c r="K410" s="5"/>
      <c r="L410" s="5"/>
    </row>
    <row r="411" ht="15.75" customHeight="1">
      <c r="J411" s="5"/>
      <c r="K411" s="5"/>
      <c r="L411" s="5"/>
    </row>
    <row r="412" ht="15.75" customHeight="1">
      <c r="J412" s="5"/>
      <c r="K412" s="5"/>
      <c r="L412" s="5"/>
    </row>
    <row r="413" ht="15.75" customHeight="1">
      <c r="J413" s="5"/>
      <c r="K413" s="5"/>
      <c r="L413" s="5"/>
    </row>
    <row r="414" ht="15.75" customHeight="1">
      <c r="J414" s="5"/>
      <c r="K414" s="5"/>
      <c r="L414" s="5"/>
    </row>
    <row r="415" ht="15.75" customHeight="1">
      <c r="J415" s="5"/>
      <c r="K415" s="5"/>
      <c r="L415" s="5"/>
    </row>
    <row r="416" ht="15.75" customHeight="1">
      <c r="J416" s="5"/>
      <c r="K416" s="5"/>
      <c r="L416" s="5"/>
    </row>
    <row r="417" ht="15.75" customHeight="1">
      <c r="J417" s="5"/>
      <c r="K417" s="5"/>
      <c r="L417" s="5"/>
    </row>
    <row r="418" ht="15.75" customHeight="1">
      <c r="J418" s="5"/>
      <c r="K418" s="5"/>
      <c r="L418" s="5"/>
    </row>
    <row r="419" ht="15.75" customHeight="1">
      <c r="J419" s="5"/>
      <c r="K419" s="5"/>
      <c r="L419" s="5"/>
    </row>
    <row r="420" ht="15.75" customHeight="1">
      <c r="J420" s="5"/>
      <c r="K420" s="5"/>
      <c r="L420" s="5"/>
    </row>
    <row r="421" ht="15.75" customHeight="1">
      <c r="J421" s="5"/>
      <c r="K421" s="5"/>
      <c r="L421" s="5"/>
    </row>
    <row r="422" ht="15.75" customHeight="1">
      <c r="J422" s="5"/>
      <c r="K422" s="5"/>
      <c r="L422" s="5"/>
    </row>
    <row r="423" ht="15.75" customHeight="1">
      <c r="J423" s="5"/>
      <c r="K423" s="5"/>
      <c r="L423" s="5"/>
    </row>
    <row r="424" ht="15.75" customHeight="1">
      <c r="J424" s="5"/>
      <c r="K424" s="5"/>
      <c r="L424" s="5"/>
    </row>
    <row r="425" ht="15.75" customHeight="1">
      <c r="J425" s="5"/>
      <c r="K425" s="5"/>
      <c r="L425" s="5"/>
    </row>
    <row r="426" ht="15.75" customHeight="1">
      <c r="J426" s="5"/>
      <c r="K426" s="5"/>
      <c r="L426" s="5"/>
    </row>
    <row r="427" ht="15.75" customHeight="1">
      <c r="J427" s="5"/>
      <c r="K427" s="5"/>
      <c r="L427" s="5"/>
    </row>
    <row r="428" ht="15.75" customHeight="1">
      <c r="J428" s="5"/>
      <c r="K428" s="5"/>
      <c r="L428" s="5"/>
    </row>
    <row r="429" ht="15.75" customHeight="1">
      <c r="J429" s="5"/>
      <c r="K429" s="5"/>
      <c r="L429" s="5"/>
    </row>
    <row r="430" ht="15.75" customHeight="1">
      <c r="J430" s="5"/>
      <c r="K430" s="5"/>
      <c r="L430" s="5"/>
    </row>
    <row r="431" ht="15.75" customHeight="1">
      <c r="J431" s="5"/>
      <c r="K431" s="5"/>
      <c r="L431" s="5"/>
    </row>
    <row r="432" ht="15.75" customHeight="1">
      <c r="J432" s="5"/>
      <c r="K432" s="5"/>
      <c r="L432" s="5"/>
    </row>
    <row r="433" ht="15.75" customHeight="1">
      <c r="J433" s="5"/>
      <c r="K433" s="5"/>
      <c r="L433" s="5"/>
    </row>
    <row r="434" ht="15.75" customHeight="1">
      <c r="J434" s="5"/>
      <c r="K434" s="5"/>
      <c r="L434" s="5"/>
    </row>
    <row r="435" ht="15.75" customHeight="1">
      <c r="J435" s="5"/>
      <c r="K435" s="5"/>
      <c r="L435" s="5"/>
    </row>
    <row r="436" ht="15.75" customHeight="1">
      <c r="J436" s="5"/>
      <c r="K436" s="5"/>
      <c r="L436" s="5"/>
    </row>
    <row r="437" ht="15.75" customHeight="1">
      <c r="J437" s="5"/>
      <c r="K437" s="5"/>
      <c r="L437" s="5"/>
    </row>
    <row r="438" ht="15.75" customHeight="1">
      <c r="J438" s="5"/>
      <c r="K438" s="5"/>
      <c r="L438" s="5"/>
    </row>
    <row r="439" ht="15.75" customHeight="1">
      <c r="J439" s="5"/>
      <c r="K439" s="5"/>
      <c r="L439" s="5"/>
    </row>
    <row r="440" ht="15.75" customHeight="1">
      <c r="J440" s="5"/>
      <c r="K440" s="5"/>
      <c r="L440" s="5"/>
    </row>
    <row r="441" ht="15.75" customHeight="1">
      <c r="J441" s="5"/>
      <c r="K441" s="5"/>
      <c r="L441" s="5"/>
    </row>
    <row r="442" ht="15.75" customHeight="1">
      <c r="J442" s="5"/>
      <c r="K442" s="5"/>
      <c r="L442" s="5"/>
    </row>
    <row r="443" ht="15.75" customHeight="1">
      <c r="J443" s="5"/>
      <c r="K443" s="5"/>
      <c r="L443" s="5"/>
    </row>
    <row r="444" ht="15.75" customHeight="1">
      <c r="J444" s="5"/>
      <c r="K444" s="5"/>
      <c r="L444" s="5"/>
    </row>
    <row r="445" ht="15.75" customHeight="1">
      <c r="J445" s="5"/>
      <c r="K445" s="5"/>
      <c r="L445" s="5"/>
    </row>
    <row r="446" ht="15.75" customHeight="1">
      <c r="J446" s="5"/>
      <c r="K446" s="5"/>
      <c r="L446" s="5"/>
    </row>
    <row r="447" ht="15.75" customHeight="1">
      <c r="J447" s="5"/>
      <c r="K447" s="5"/>
      <c r="L447" s="5"/>
    </row>
    <row r="448" ht="15.75" customHeight="1">
      <c r="J448" s="5"/>
      <c r="K448" s="5"/>
      <c r="L448" s="5"/>
    </row>
    <row r="449" ht="15.75" customHeight="1">
      <c r="J449" s="5"/>
      <c r="K449" s="5"/>
      <c r="L449" s="5"/>
    </row>
    <row r="450" ht="15.75" customHeight="1">
      <c r="J450" s="5"/>
      <c r="K450" s="5"/>
      <c r="L450" s="5"/>
    </row>
    <row r="451" ht="15.75" customHeight="1">
      <c r="J451" s="5"/>
      <c r="K451" s="5"/>
      <c r="L451" s="5"/>
    </row>
    <row r="452" ht="15.75" customHeight="1">
      <c r="J452" s="5"/>
      <c r="K452" s="5"/>
      <c r="L452" s="5"/>
    </row>
    <row r="453" ht="15.75" customHeight="1">
      <c r="J453" s="5"/>
      <c r="K453" s="5"/>
      <c r="L453" s="5"/>
    </row>
    <row r="454" ht="15.75" customHeight="1">
      <c r="J454" s="5"/>
      <c r="K454" s="5"/>
      <c r="L454" s="5"/>
    </row>
    <row r="455" ht="15.75" customHeight="1">
      <c r="J455" s="5"/>
      <c r="K455" s="5"/>
      <c r="L455" s="5"/>
    </row>
    <row r="456" ht="15.75" customHeight="1">
      <c r="J456" s="5"/>
      <c r="K456" s="5"/>
      <c r="L456" s="5"/>
    </row>
    <row r="457" ht="15.75" customHeight="1">
      <c r="J457" s="5"/>
      <c r="K457" s="5"/>
      <c r="L457" s="5"/>
    </row>
    <row r="458" ht="15.75" customHeight="1">
      <c r="J458" s="5"/>
      <c r="K458" s="5"/>
      <c r="L458" s="5"/>
    </row>
    <row r="459" ht="15.75" customHeight="1">
      <c r="J459" s="5"/>
      <c r="K459" s="5"/>
      <c r="L459" s="5"/>
    </row>
    <row r="460" ht="15.75" customHeight="1">
      <c r="J460" s="5"/>
      <c r="K460" s="5"/>
      <c r="L460" s="5"/>
    </row>
    <row r="461" ht="15.75" customHeight="1">
      <c r="J461" s="5"/>
      <c r="K461" s="5"/>
      <c r="L461" s="5"/>
    </row>
    <row r="462" ht="15.75" customHeight="1">
      <c r="J462" s="5"/>
      <c r="K462" s="5"/>
      <c r="L462" s="5"/>
    </row>
    <row r="463" ht="15.75" customHeight="1">
      <c r="J463" s="5"/>
      <c r="K463" s="5"/>
      <c r="L463" s="5"/>
    </row>
    <row r="464" ht="15.75" customHeight="1">
      <c r="J464" s="5"/>
      <c r="K464" s="5"/>
      <c r="L464" s="5"/>
    </row>
    <row r="465" ht="15.75" customHeight="1">
      <c r="J465" s="5"/>
      <c r="K465" s="5"/>
      <c r="L465" s="5"/>
    </row>
    <row r="466" ht="15.75" customHeight="1">
      <c r="J466" s="5"/>
      <c r="K466" s="5"/>
      <c r="L466" s="5"/>
    </row>
    <row r="467" ht="15.75" customHeight="1">
      <c r="J467" s="5"/>
      <c r="K467" s="5"/>
      <c r="L467" s="5"/>
    </row>
    <row r="468" ht="15.75" customHeight="1">
      <c r="J468" s="5"/>
      <c r="K468" s="5"/>
      <c r="L468" s="5"/>
    </row>
    <row r="469" ht="15.75" customHeight="1">
      <c r="J469" s="5"/>
      <c r="K469" s="5"/>
      <c r="L469" s="5"/>
    </row>
    <row r="470" ht="15.75" customHeight="1">
      <c r="J470" s="5"/>
      <c r="K470" s="5"/>
      <c r="L470" s="5"/>
    </row>
    <row r="471" ht="15.75" customHeight="1">
      <c r="J471" s="5"/>
      <c r="K471" s="5"/>
      <c r="L471" s="5"/>
    </row>
    <row r="472" ht="15.75" customHeight="1">
      <c r="J472" s="5"/>
      <c r="K472" s="5"/>
      <c r="L472" s="5"/>
    </row>
    <row r="473" ht="15.75" customHeight="1">
      <c r="J473" s="5"/>
      <c r="K473" s="5"/>
      <c r="L473" s="5"/>
    </row>
    <row r="474" ht="15.75" customHeight="1">
      <c r="J474" s="5"/>
      <c r="K474" s="5"/>
      <c r="L474" s="5"/>
    </row>
    <row r="475" ht="15.75" customHeight="1">
      <c r="J475" s="5"/>
      <c r="K475" s="5"/>
      <c r="L475" s="5"/>
    </row>
    <row r="476" ht="15.75" customHeight="1">
      <c r="J476" s="5"/>
      <c r="K476" s="5"/>
      <c r="L476" s="5"/>
    </row>
    <row r="477" ht="15.75" customHeight="1">
      <c r="J477" s="5"/>
      <c r="K477" s="5"/>
      <c r="L477" s="5"/>
    </row>
    <row r="478" ht="15.75" customHeight="1">
      <c r="J478" s="5"/>
      <c r="K478" s="5"/>
      <c r="L478" s="5"/>
    </row>
    <row r="479" ht="15.75" customHeight="1">
      <c r="J479" s="5"/>
      <c r="K479" s="5"/>
      <c r="L479" s="5"/>
    </row>
    <row r="480" ht="15.75" customHeight="1">
      <c r="J480" s="5"/>
      <c r="K480" s="5"/>
      <c r="L480" s="5"/>
    </row>
    <row r="481" ht="15.75" customHeight="1">
      <c r="J481" s="5"/>
      <c r="K481" s="5"/>
      <c r="L481" s="5"/>
    </row>
    <row r="482" ht="15.75" customHeight="1">
      <c r="J482" s="5"/>
      <c r="K482" s="5"/>
      <c r="L482" s="5"/>
    </row>
    <row r="483" ht="15.75" customHeight="1">
      <c r="J483" s="5"/>
      <c r="K483" s="5"/>
      <c r="L483" s="5"/>
    </row>
    <row r="484" ht="15.75" customHeight="1">
      <c r="J484" s="5"/>
      <c r="K484" s="5"/>
      <c r="L484" s="5"/>
    </row>
    <row r="485" ht="15.75" customHeight="1">
      <c r="J485" s="5"/>
      <c r="K485" s="5"/>
      <c r="L485" s="5"/>
    </row>
    <row r="486" ht="15.75" customHeight="1">
      <c r="J486" s="5"/>
      <c r="K486" s="5"/>
      <c r="L486" s="5"/>
    </row>
    <row r="487" ht="15.75" customHeight="1">
      <c r="J487" s="5"/>
      <c r="K487" s="5"/>
      <c r="L487" s="5"/>
    </row>
    <row r="488" ht="15.75" customHeight="1">
      <c r="J488" s="5"/>
      <c r="K488" s="5"/>
      <c r="L488" s="5"/>
    </row>
    <row r="489" ht="15.75" customHeight="1">
      <c r="J489" s="5"/>
      <c r="K489" s="5"/>
      <c r="L489" s="5"/>
    </row>
    <row r="490" ht="15.75" customHeight="1">
      <c r="J490" s="5"/>
      <c r="K490" s="5"/>
      <c r="L490" s="5"/>
    </row>
    <row r="491" ht="15.75" customHeight="1">
      <c r="J491" s="5"/>
      <c r="K491" s="5"/>
      <c r="L491" s="5"/>
    </row>
    <row r="492" ht="15.75" customHeight="1">
      <c r="J492" s="5"/>
      <c r="K492" s="5"/>
      <c r="L492" s="5"/>
    </row>
    <row r="493" ht="15.75" customHeight="1">
      <c r="J493" s="5"/>
      <c r="K493" s="5"/>
      <c r="L493" s="5"/>
    </row>
    <row r="494" ht="15.75" customHeight="1">
      <c r="J494" s="5"/>
      <c r="K494" s="5"/>
      <c r="L494" s="5"/>
    </row>
    <row r="495" ht="15.75" customHeight="1">
      <c r="J495" s="5"/>
      <c r="K495" s="5"/>
      <c r="L495" s="5"/>
    </row>
    <row r="496" ht="15.75" customHeight="1">
      <c r="J496" s="5"/>
      <c r="K496" s="5"/>
      <c r="L496" s="5"/>
    </row>
    <row r="497" ht="15.75" customHeight="1">
      <c r="J497" s="5"/>
      <c r="K497" s="5"/>
      <c r="L497" s="5"/>
    </row>
    <row r="498" ht="15.75" customHeight="1">
      <c r="J498" s="5"/>
      <c r="K498" s="5"/>
      <c r="L498" s="5"/>
    </row>
    <row r="499" ht="15.75" customHeight="1">
      <c r="J499" s="5"/>
      <c r="K499" s="5"/>
      <c r="L499" s="5"/>
    </row>
    <row r="500" ht="15.75" customHeight="1">
      <c r="J500" s="5"/>
      <c r="K500" s="5"/>
      <c r="L500" s="5"/>
    </row>
    <row r="501" ht="15.75" customHeight="1">
      <c r="J501" s="5"/>
      <c r="K501" s="5"/>
      <c r="L501" s="5"/>
    </row>
    <row r="502" ht="15.75" customHeight="1">
      <c r="J502" s="5"/>
      <c r="K502" s="5"/>
      <c r="L502" s="5"/>
    </row>
    <row r="503" ht="15.75" customHeight="1">
      <c r="J503" s="5"/>
      <c r="K503" s="5"/>
      <c r="L503" s="5"/>
    </row>
    <row r="504" ht="15.75" customHeight="1">
      <c r="J504" s="5"/>
      <c r="K504" s="5"/>
      <c r="L504" s="5"/>
    </row>
    <row r="505" ht="15.75" customHeight="1">
      <c r="J505" s="5"/>
      <c r="K505" s="5"/>
      <c r="L505" s="5"/>
    </row>
    <row r="506" ht="15.75" customHeight="1">
      <c r="J506" s="5"/>
      <c r="K506" s="5"/>
      <c r="L506" s="5"/>
    </row>
    <row r="507" ht="15.75" customHeight="1">
      <c r="J507" s="5"/>
      <c r="K507" s="5"/>
      <c r="L507" s="5"/>
    </row>
    <row r="508" ht="15.75" customHeight="1">
      <c r="J508" s="5"/>
      <c r="K508" s="5"/>
      <c r="L508" s="5"/>
    </row>
    <row r="509" ht="15.75" customHeight="1">
      <c r="J509" s="5"/>
      <c r="K509" s="5"/>
      <c r="L509" s="5"/>
    </row>
    <row r="510" ht="15.75" customHeight="1">
      <c r="J510" s="5"/>
      <c r="K510" s="5"/>
      <c r="L510" s="5"/>
    </row>
    <row r="511" ht="15.75" customHeight="1">
      <c r="J511" s="5"/>
      <c r="K511" s="5"/>
      <c r="L511" s="5"/>
    </row>
    <row r="512" ht="15.75" customHeight="1">
      <c r="J512" s="5"/>
      <c r="K512" s="5"/>
      <c r="L512" s="5"/>
    </row>
    <row r="513" ht="15.75" customHeight="1">
      <c r="J513" s="5"/>
      <c r="K513" s="5"/>
      <c r="L513" s="5"/>
    </row>
    <row r="514" ht="15.75" customHeight="1">
      <c r="J514" s="5"/>
      <c r="K514" s="5"/>
      <c r="L514" s="5"/>
    </row>
    <row r="515" ht="15.75" customHeight="1">
      <c r="J515" s="5"/>
      <c r="K515" s="5"/>
      <c r="L515" s="5"/>
    </row>
    <row r="516" ht="15.75" customHeight="1">
      <c r="J516" s="5"/>
      <c r="K516" s="5"/>
      <c r="L516" s="5"/>
    </row>
    <row r="517" ht="15.75" customHeight="1">
      <c r="J517" s="5"/>
      <c r="K517" s="5"/>
      <c r="L517" s="5"/>
    </row>
    <row r="518" ht="15.75" customHeight="1">
      <c r="J518" s="5"/>
      <c r="K518" s="5"/>
      <c r="L518" s="5"/>
    </row>
    <row r="519" ht="15.75" customHeight="1">
      <c r="J519" s="5"/>
      <c r="K519" s="5"/>
      <c r="L519" s="5"/>
    </row>
    <row r="520" ht="15.75" customHeight="1">
      <c r="J520" s="5"/>
      <c r="K520" s="5"/>
      <c r="L520" s="5"/>
    </row>
    <row r="521" ht="15.75" customHeight="1">
      <c r="J521" s="5"/>
      <c r="K521" s="5"/>
      <c r="L521" s="5"/>
    </row>
    <row r="522" ht="15.75" customHeight="1">
      <c r="J522" s="5"/>
      <c r="K522" s="5"/>
      <c r="L522" s="5"/>
    </row>
    <row r="523" ht="15.75" customHeight="1">
      <c r="J523" s="5"/>
      <c r="K523" s="5"/>
      <c r="L523" s="5"/>
    </row>
    <row r="524" ht="15.75" customHeight="1">
      <c r="J524" s="5"/>
      <c r="K524" s="5"/>
      <c r="L524" s="5"/>
    </row>
    <row r="525" ht="15.75" customHeight="1">
      <c r="J525" s="5"/>
      <c r="K525" s="5"/>
      <c r="L525" s="5"/>
    </row>
    <row r="526" ht="15.75" customHeight="1">
      <c r="J526" s="5"/>
      <c r="K526" s="5"/>
      <c r="L526" s="5"/>
    </row>
    <row r="527" ht="15.75" customHeight="1">
      <c r="J527" s="5"/>
      <c r="K527" s="5"/>
      <c r="L527" s="5"/>
    </row>
    <row r="528" ht="15.75" customHeight="1">
      <c r="J528" s="5"/>
      <c r="K528" s="5"/>
      <c r="L528" s="5"/>
    </row>
    <row r="529" ht="15.75" customHeight="1">
      <c r="J529" s="5"/>
      <c r="K529" s="5"/>
      <c r="L529" s="5"/>
    </row>
    <row r="530" ht="15.75" customHeight="1">
      <c r="J530" s="5"/>
      <c r="K530" s="5"/>
      <c r="L530" s="5"/>
    </row>
    <row r="531" ht="15.75" customHeight="1">
      <c r="J531" s="5"/>
      <c r="K531" s="5"/>
      <c r="L531" s="5"/>
    </row>
    <row r="532" ht="15.75" customHeight="1">
      <c r="J532" s="5"/>
      <c r="K532" s="5"/>
      <c r="L532" s="5"/>
    </row>
    <row r="533" ht="15.75" customHeight="1">
      <c r="J533" s="5"/>
      <c r="K533" s="5"/>
      <c r="L533" s="5"/>
    </row>
    <row r="534" ht="15.75" customHeight="1">
      <c r="J534" s="5"/>
      <c r="K534" s="5"/>
      <c r="L534" s="5"/>
    </row>
    <row r="535" ht="15.75" customHeight="1">
      <c r="J535" s="5"/>
      <c r="K535" s="5"/>
      <c r="L535" s="5"/>
    </row>
    <row r="536" ht="15.75" customHeight="1">
      <c r="J536" s="5"/>
      <c r="K536" s="5"/>
      <c r="L536" s="5"/>
    </row>
    <row r="537" ht="15.75" customHeight="1">
      <c r="J537" s="5"/>
      <c r="K537" s="5"/>
      <c r="L537" s="5"/>
    </row>
    <row r="538" ht="15.75" customHeight="1">
      <c r="J538" s="5"/>
      <c r="K538" s="5"/>
      <c r="L538" s="5"/>
    </row>
    <row r="539" ht="15.75" customHeight="1">
      <c r="J539" s="5"/>
      <c r="K539" s="5"/>
      <c r="L539" s="5"/>
    </row>
    <row r="540" ht="15.75" customHeight="1">
      <c r="J540" s="5"/>
      <c r="K540" s="5"/>
      <c r="L540" s="5"/>
    </row>
    <row r="541" ht="15.75" customHeight="1">
      <c r="J541" s="5"/>
      <c r="K541" s="5"/>
      <c r="L541" s="5"/>
    </row>
    <row r="542" ht="15.75" customHeight="1">
      <c r="J542" s="5"/>
      <c r="K542" s="5"/>
      <c r="L542" s="5"/>
    </row>
    <row r="543" ht="15.75" customHeight="1">
      <c r="J543" s="5"/>
      <c r="K543" s="5"/>
      <c r="L543" s="5"/>
    </row>
    <row r="544" ht="15.75" customHeight="1">
      <c r="J544" s="5"/>
      <c r="K544" s="5"/>
      <c r="L544" s="5"/>
    </row>
    <row r="545" ht="15.75" customHeight="1">
      <c r="J545" s="5"/>
      <c r="K545" s="5"/>
      <c r="L545" s="5"/>
    </row>
    <row r="546" ht="15.75" customHeight="1">
      <c r="J546" s="5"/>
      <c r="K546" s="5"/>
      <c r="L546" s="5"/>
    </row>
    <row r="547" ht="15.75" customHeight="1">
      <c r="J547" s="5"/>
      <c r="K547" s="5"/>
      <c r="L547" s="5"/>
    </row>
    <row r="548" ht="15.75" customHeight="1">
      <c r="J548" s="5"/>
      <c r="K548" s="5"/>
      <c r="L548" s="5"/>
    </row>
    <row r="549" ht="15.75" customHeight="1">
      <c r="J549" s="5"/>
      <c r="K549" s="5"/>
      <c r="L549" s="5"/>
    </row>
    <row r="550" ht="15.75" customHeight="1">
      <c r="J550" s="5"/>
      <c r="K550" s="5"/>
      <c r="L550" s="5"/>
    </row>
    <row r="551" ht="15.75" customHeight="1">
      <c r="J551" s="5"/>
      <c r="K551" s="5"/>
      <c r="L551" s="5"/>
    </row>
    <row r="552" ht="15.75" customHeight="1">
      <c r="J552" s="5"/>
      <c r="K552" s="5"/>
      <c r="L552" s="5"/>
    </row>
    <row r="553" ht="15.75" customHeight="1">
      <c r="J553" s="5"/>
      <c r="K553" s="5"/>
      <c r="L553" s="5"/>
    </row>
    <row r="554" ht="15.75" customHeight="1">
      <c r="J554" s="5"/>
      <c r="K554" s="5"/>
      <c r="L554" s="5"/>
    </row>
    <row r="555" ht="15.75" customHeight="1">
      <c r="J555" s="5"/>
      <c r="K555" s="5"/>
      <c r="L555" s="5"/>
    </row>
    <row r="556" ht="15.75" customHeight="1">
      <c r="J556" s="5"/>
      <c r="K556" s="5"/>
      <c r="L556" s="5"/>
    </row>
    <row r="557" ht="15.75" customHeight="1">
      <c r="J557" s="5"/>
      <c r="K557" s="5"/>
      <c r="L557" s="5"/>
    </row>
    <row r="558" ht="15.75" customHeight="1">
      <c r="J558" s="5"/>
      <c r="K558" s="5"/>
      <c r="L558" s="5"/>
    </row>
    <row r="559" ht="15.75" customHeight="1">
      <c r="J559" s="5"/>
      <c r="K559" s="5"/>
      <c r="L559" s="5"/>
    </row>
    <row r="560" ht="15.75" customHeight="1">
      <c r="J560" s="5"/>
      <c r="K560" s="5"/>
      <c r="L560" s="5"/>
    </row>
    <row r="561" ht="15.75" customHeight="1">
      <c r="J561" s="5"/>
      <c r="K561" s="5"/>
      <c r="L561" s="5"/>
    </row>
    <row r="562" ht="15.75" customHeight="1">
      <c r="J562" s="5"/>
      <c r="K562" s="5"/>
      <c r="L562" s="5"/>
    </row>
    <row r="563" ht="15.75" customHeight="1">
      <c r="J563" s="5"/>
      <c r="K563" s="5"/>
      <c r="L563" s="5"/>
    </row>
    <row r="564" ht="15.75" customHeight="1">
      <c r="J564" s="5"/>
      <c r="K564" s="5"/>
      <c r="L564" s="5"/>
    </row>
    <row r="565" ht="15.75" customHeight="1">
      <c r="J565" s="5"/>
      <c r="K565" s="5"/>
      <c r="L565" s="5"/>
    </row>
    <row r="566" ht="15.75" customHeight="1">
      <c r="J566" s="5"/>
      <c r="K566" s="5"/>
      <c r="L566" s="5"/>
    </row>
    <row r="567" ht="15.75" customHeight="1">
      <c r="J567" s="5"/>
      <c r="K567" s="5"/>
      <c r="L567" s="5"/>
    </row>
    <row r="568" ht="15.75" customHeight="1">
      <c r="J568" s="5"/>
      <c r="K568" s="5"/>
      <c r="L568" s="5"/>
    </row>
    <row r="569" ht="15.75" customHeight="1">
      <c r="J569" s="5"/>
      <c r="K569" s="5"/>
      <c r="L569" s="5"/>
    </row>
    <row r="570" ht="15.75" customHeight="1">
      <c r="J570" s="5"/>
      <c r="K570" s="5"/>
      <c r="L570" s="5"/>
    </row>
    <row r="571" ht="15.75" customHeight="1">
      <c r="J571" s="5"/>
      <c r="K571" s="5"/>
      <c r="L571" s="5"/>
    </row>
    <row r="572" ht="15.75" customHeight="1">
      <c r="J572" s="5"/>
      <c r="K572" s="5"/>
      <c r="L572" s="5"/>
    </row>
    <row r="573" ht="15.75" customHeight="1">
      <c r="J573" s="5"/>
      <c r="K573" s="5"/>
      <c r="L573" s="5"/>
    </row>
    <row r="574" ht="15.75" customHeight="1">
      <c r="J574" s="5"/>
      <c r="K574" s="5"/>
      <c r="L574" s="5"/>
    </row>
    <row r="575" ht="15.75" customHeight="1">
      <c r="J575" s="5"/>
      <c r="K575" s="5"/>
      <c r="L575" s="5"/>
    </row>
    <row r="576" ht="15.75" customHeight="1">
      <c r="J576" s="5"/>
      <c r="K576" s="5"/>
      <c r="L576" s="5"/>
    </row>
    <row r="577" ht="15.75" customHeight="1">
      <c r="J577" s="5"/>
      <c r="K577" s="5"/>
      <c r="L577" s="5"/>
    </row>
    <row r="578" ht="15.75" customHeight="1">
      <c r="J578" s="5"/>
      <c r="K578" s="5"/>
      <c r="L578" s="5"/>
    </row>
    <row r="579" ht="15.75" customHeight="1">
      <c r="J579" s="5"/>
      <c r="K579" s="5"/>
      <c r="L579" s="5"/>
    </row>
    <row r="580" ht="15.75" customHeight="1">
      <c r="J580" s="5"/>
      <c r="K580" s="5"/>
      <c r="L580" s="5"/>
    </row>
    <row r="581" ht="15.75" customHeight="1">
      <c r="J581" s="5"/>
      <c r="K581" s="5"/>
      <c r="L581" s="5"/>
    </row>
    <row r="582" ht="15.75" customHeight="1">
      <c r="J582" s="5"/>
      <c r="K582" s="5"/>
      <c r="L582" s="5"/>
    </row>
    <row r="583" ht="15.75" customHeight="1">
      <c r="J583" s="5"/>
      <c r="K583" s="5"/>
      <c r="L583" s="5"/>
    </row>
    <row r="584" ht="15.75" customHeight="1">
      <c r="J584" s="5"/>
      <c r="K584" s="5"/>
      <c r="L584" s="5"/>
    </row>
    <row r="585" ht="15.75" customHeight="1">
      <c r="J585" s="5"/>
      <c r="K585" s="5"/>
      <c r="L585" s="5"/>
    </row>
    <row r="586" ht="15.75" customHeight="1">
      <c r="J586" s="5"/>
      <c r="K586" s="5"/>
      <c r="L586" s="5"/>
    </row>
    <row r="587" ht="15.75" customHeight="1">
      <c r="J587" s="5"/>
      <c r="K587" s="5"/>
      <c r="L587" s="5"/>
    </row>
    <row r="588" ht="15.75" customHeight="1">
      <c r="J588" s="5"/>
      <c r="K588" s="5"/>
      <c r="L588" s="5"/>
    </row>
    <row r="589" ht="15.75" customHeight="1">
      <c r="J589" s="5"/>
      <c r="K589" s="5"/>
      <c r="L589" s="5"/>
    </row>
    <row r="590" ht="15.75" customHeight="1">
      <c r="J590" s="5"/>
      <c r="K590" s="5"/>
      <c r="L590" s="5"/>
    </row>
    <row r="591" ht="15.75" customHeight="1">
      <c r="J591" s="5"/>
      <c r="K591" s="5"/>
      <c r="L591" s="5"/>
    </row>
    <row r="592" ht="15.75" customHeight="1">
      <c r="J592" s="5"/>
      <c r="K592" s="5"/>
      <c r="L592" s="5"/>
    </row>
    <row r="593" ht="15.75" customHeight="1">
      <c r="J593" s="5"/>
      <c r="K593" s="5"/>
      <c r="L593" s="5"/>
    </row>
    <row r="594" ht="15.75" customHeight="1">
      <c r="J594" s="5"/>
      <c r="K594" s="5"/>
      <c r="L594" s="5"/>
    </row>
    <row r="595" ht="15.75" customHeight="1">
      <c r="J595" s="5"/>
      <c r="K595" s="5"/>
      <c r="L595" s="5"/>
    </row>
    <row r="596" ht="15.75" customHeight="1">
      <c r="J596" s="5"/>
      <c r="K596" s="5"/>
      <c r="L596" s="5"/>
    </row>
    <row r="597" ht="15.75" customHeight="1">
      <c r="J597" s="5"/>
      <c r="K597" s="5"/>
      <c r="L597" s="5"/>
    </row>
    <row r="598" ht="15.75" customHeight="1">
      <c r="J598" s="5"/>
      <c r="K598" s="5"/>
      <c r="L598" s="5"/>
    </row>
    <row r="599" ht="15.75" customHeight="1">
      <c r="J599" s="5"/>
      <c r="K599" s="5"/>
      <c r="L599" s="5"/>
    </row>
    <row r="600" ht="15.75" customHeight="1">
      <c r="J600" s="5"/>
      <c r="K600" s="5"/>
      <c r="L600" s="5"/>
    </row>
    <row r="601" ht="15.75" customHeight="1">
      <c r="J601" s="5"/>
      <c r="K601" s="5"/>
      <c r="L601" s="5"/>
    </row>
    <row r="602" ht="15.75" customHeight="1">
      <c r="J602" s="5"/>
      <c r="K602" s="5"/>
      <c r="L602" s="5"/>
    </row>
    <row r="603" ht="15.75" customHeight="1">
      <c r="J603" s="5"/>
      <c r="K603" s="5"/>
      <c r="L603" s="5"/>
    </row>
    <row r="604" ht="15.75" customHeight="1">
      <c r="J604" s="5"/>
      <c r="K604" s="5"/>
      <c r="L604" s="5"/>
    </row>
    <row r="605" ht="15.75" customHeight="1">
      <c r="J605" s="5"/>
      <c r="K605" s="5"/>
      <c r="L605" s="5"/>
    </row>
    <row r="606" ht="15.75" customHeight="1">
      <c r="J606" s="5"/>
      <c r="K606" s="5"/>
      <c r="L606" s="5"/>
    </row>
    <row r="607" ht="15.75" customHeight="1">
      <c r="J607" s="5"/>
      <c r="K607" s="5"/>
      <c r="L607" s="5"/>
    </row>
    <row r="608" ht="15.75" customHeight="1">
      <c r="J608" s="5"/>
      <c r="K608" s="5"/>
      <c r="L608" s="5"/>
    </row>
    <row r="609" ht="15.75" customHeight="1">
      <c r="J609" s="5"/>
      <c r="K609" s="5"/>
      <c r="L609" s="5"/>
    </row>
    <row r="610" ht="15.75" customHeight="1">
      <c r="J610" s="5"/>
      <c r="K610" s="5"/>
      <c r="L610" s="5"/>
    </row>
    <row r="611" ht="15.75" customHeight="1">
      <c r="J611" s="5"/>
      <c r="K611" s="5"/>
      <c r="L611" s="5"/>
    </row>
    <row r="612" ht="15.75" customHeight="1">
      <c r="J612" s="5"/>
      <c r="K612" s="5"/>
      <c r="L612" s="5"/>
    </row>
    <row r="613" ht="15.75" customHeight="1">
      <c r="J613" s="5"/>
      <c r="K613" s="5"/>
      <c r="L613" s="5"/>
    </row>
    <row r="614" ht="15.75" customHeight="1">
      <c r="J614" s="5"/>
      <c r="K614" s="5"/>
      <c r="L614" s="5"/>
    </row>
    <row r="615" ht="15.75" customHeight="1">
      <c r="J615" s="5"/>
      <c r="K615" s="5"/>
      <c r="L615" s="5"/>
    </row>
    <row r="616" ht="15.75" customHeight="1">
      <c r="J616" s="5"/>
      <c r="K616" s="5"/>
      <c r="L616" s="5"/>
    </row>
    <row r="617" ht="15.75" customHeight="1">
      <c r="J617" s="5"/>
      <c r="K617" s="5"/>
      <c r="L617" s="5"/>
    </row>
    <row r="618" ht="15.75" customHeight="1">
      <c r="J618" s="5"/>
      <c r="K618" s="5"/>
      <c r="L618" s="5"/>
    </row>
    <row r="619" ht="15.75" customHeight="1">
      <c r="J619" s="5"/>
      <c r="K619" s="5"/>
      <c r="L619" s="5"/>
    </row>
    <row r="620" ht="15.75" customHeight="1">
      <c r="J620" s="5"/>
      <c r="K620" s="5"/>
      <c r="L620" s="5"/>
    </row>
    <row r="621" ht="15.75" customHeight="1">
      <c r="J621" s="5"/>
      <c r="K621" s="5"/>
      <c r="L621" s="5"/>
    </row>
    <row r="622" ht="15.75" customHeight="1">
      <c r="J622" s="5"/>
      <c r="K622" s="5"/>
      <c r="L622" s="5"/>
    </row>
    <row r="623" ht="15.75" customHeight="1">
      <c r="J623" s="5"/>
      <c r="K623" s="5"/>
      <c r="L623" s="5"/>
    </row>
    <row r="624" ht="15.75" customHeight="1">
      <c r="J624" s="5"/>
      <c r="K624" s="5"/>
      <c r="L624" s="5"/>
    </row>
    <row r="625" ht="15.75" customHeight="1">
      <c r="J625" s="5"/>
      <c r="K625" s="5"/>
      <c r="L625" s="5"/>
    </row>
    <row r="626" ht="15.75" customHeight="1">
      <c r="J626" s="5"/>
      <c r="K626" s="5"/>
      <c r="L626" s="5"/>
    </row>
    <row r="627" ht="15.75" customHeight="1">
      <c r="J627" s="5"/>
      <c r="K627" s="5"/>
      <c r="L627" s="5"/>
    </row>
    <row r="628" ht="15.75" customHeight="1">
      <c r="J628" s="5"/>
      <c r="K628" s="5"/>
      <c r="L628" s="5"/>
    </row>
    <row r="629" ht="15.75" customHeight="1">
      <c r="J629" s="5"/>
      <c r="K629" s="5"/>
      <c r="L629" s="5"/>
    </row>
    <row r="630" ht="15.75" customHeight="1">
      <c r="J630" s="5"/>
      <c r="K630" s="5"/>
      <c r="L630" s="5"/>
    </row>
    <row r="631" ht="15.75" customHeight="1">
      <c r="J631" s="5"/>
      <c r="K631" s="5"/>
      <c r="L631" s="5"/>
    </row>
    <row r="632" ht="15.75" customHeight="1">
      <c r="J632" s="5"/>
      <c r="K632" s="5"/>
      <c r="L632" s="5"/>
    </row>
    <row r="633" ht="15.75" customHeight="1">
      <c r="J633" s="5"/>
      <c r="K633" s="5"/>
      <c r="L633" s="5"/>
    </row>
    <row r="634" ht="15.75" customHeight="1">
      <c r="J634" s="5"/>
      <c r="K634" s="5"/>
      <c r="L634" s="5"/>
    </row>
    <row r="635" ht="15.75" customHeight="1">
      <c r="J635" s="5"/>
      <c r="K635" s="5"/>
      <c r="L635" s="5"/>
    </row>
    <row r="636" ht="15.75" customHeight="1">
      <c r="J636" s="5"/>
      <c r="K636" s="5"/>
      <c r="L636" s="5"/>
    </row>
    <row r="637" ht="15.75" customHeight="1">
      <c r="J637" s="5"/>
      <c r="K637" s="5"/>
      <c r="L637" s="5"/>
    </row>
    <row r="638" ht="15.75" customHeight="1">
      <c r="J638" s="5"/>
      <c r="K638" s="5"/>
      <c r="L638" s="5"/>
    </row>
    <row r="639" ht="15.75" customHeight="1">
      <c r="J639" s="5"/>
      <c r="K639" s="5"/>
      <c r="L639" s="5"/>
    </row>
    <row r="640" ht="15.75" customHeight="1">
      <c r="J640" s="5"/>
      <c r="K640" s="5"/>
      <c r="L640" s="5"/>
    </row>
    <row r="641" ht="15.75" customHeight="1">
      <c r="J641" s="5"/>
      <c r="K641" s="5"/>
      <c r="L641" s="5"/>
    </row>
    <row r="642" ht="15.75" customHeight="1">
      <c r="J642" s="5"/>
      <c r="K642" s="5"/>
      <c r="L642" s="5"/>
    </row>
    <row r="643" ht="15.75" customHeight="1">
      <c r="J643" s="5"/>
      <c r="K643" s="5"/>
      <c r="L643" s="5"/>
    </row>
    <row r="644" ht="15.75" customHeight="1">
      <c r="J644" s="5"/>
      <c r="K644" s="5"/>
      <c r="L644" s="5"/>
    </row>
    <row r="645" ht="15.75" customHeight="1">
      <c r="J645" s="5"/>
      <c r="K645" s="5"/>
      <c r="L645" s="5"/>
    </row>
    <row r="646" ht="15.75" customHeight="1">
      <c r="J646" s="5"/>
      <c r="K646" s="5"/>
      <c r="L646" s="5"/>
    </row>
    <row r="647" ht="15.75" customHeight="1">
      <c r="J647" s="5"/>
      <c r="K647" s="5"/>
      <c r="L647" s="5"/>
    </row>
    <row r="648" ht="15.75" customHeight="1">
      <c r="J648" s="5"/>
      <c r="K648" s="5"/>
      <c r="L648" s="5"/>
    </row>
    <row r="649" ht="15.75" customHeight="1">
      <c r="J649" s="5"/>
      <c r="K649" s="5"/>
      <c r="L649" s="5"/>
    </row>
    <row r="650" ht="15.75" customHeight="1">
      <c r="J650" s="5"/>
      <c r="K650" s="5"/>
      <c r="L650" s="5"/>
    </row>
    <row r="651" ht="15.75" customHeight="1">
      <c r="J651" s="5"/>
      <c r="K651" s="5"/>
      <c r="L651" s="5"/>
    </row>
    <row r="652" ht="15.75" customHeight="1">
      <c r="J652" s="5"/>
      <c r="K652" s="5"/>
      <c r="L652" s="5"/>
    </row>
    <row r="653" ht="15.75" customHeight="1">
      <c r="J653" s="5"/>
      <c r="K653" s="5"/>
      <c r="L653" s="5"/>
    </row>
    <row r="654" ht="15.75" customHeight="1">
      <c r="J654" s="5"/>
      <c r="K654" s="5"/>
      <c r="L654" s="5"/>
    </row>
    <row r="655" ht="15.75" customHeight="1">
      <c r="J655" s="5"/>
      <c r="K655" s="5"/>
      <c r="L655" s="5"/>
    </row>
    <row r="656" ht="15.75" customHeight="1">
      <c r="J656" s="5"/>
      <c r="K656" s="5"/>
      <c r="L656" s="5"/>
    </row>
    <row r="657" ht="15.75" customHeight="1">
      <c r="J657" s="5"/>
      <c r="K657" s="5"/>
      <c r="L657" s="5"/>
    </row>
    <row r="658" ht="15.75" customHeight="1">
      <c r="J658" s="5"/>
      <c r="K658" s="5"/>
      <c r="L658" s="5"/>
    </row>
    <row r="659" ht="15.75" customHeight="1">
      <c r="J659" s="5"/>
      <c r="K659" s="5"/>
      <c r="L659" s="5"/>
    </row>
    <row r="660" ht="15.75" customHeight="1">
      <c r="J660" s="5"/>
      <c r="K660" s="5"/>
      <c r="L660" s="5"/>
    </row>
    <row r="661" ht="15.75" customHeight="1">
      <c r="J661" s="5"/>
      <c r="K661" s="5"/>
      <c r="L661" s="5"/>
    </row>
    <row r="662" ht="15.75" customHeight="1">
      <c r="J662" s="5"/>
      <c r="K662" s="5"/>
      <c r="L662" s="5"/>
    </row>
    <row r="663" ht="15.75" customHeight="1">
      <c r="J663" s="5"/>
      <c r="K663" s="5"/>
      <c r="L663" s="5"/>
    </row>
    <row r="664" ht="15.75" customHeight="1">
      <c r="J664" s="5"/>
      <c r="K664" s="5"/>
      <c r="L664" s="5"/>
    </row>
    <row r="665" ht="15.75" customHeight="1">
      <c r="J665" s="5"/>
      <c r="K665" s="5"/>
      <c r="L665" s="5"/>
    </row>
    <row r="666" ht="15.75" customHeight="1">
      <c r="J666" s="5"/>
      <c r="K666" s="5"/>
      <c r="L666" s="5"/>
    </row>
    <row r="667" ht="15.75" customHeight="1">
      <c r="J667" s="5"/>
      <c r="K667" s="5"/>
      <c r="L667" s="5"/>
    </row>
    <row r="668" ht="15.75" customHeight="1">
      <c r="J668" s="5"/>
      <c r="K668" s="5"/>
      <c r="L668" s="5"/>
    </row>
    <row r="669" ht="15.75" customHeight="1">
      <c r="J669" s="5"/>
      <c r="K669" s="5"/>
      <c r="L669" s="5"/>
    </row>
    <row r="670" ht="15.75" customHeight="1">
      <c r="J670" s="5"/>
      <c r="K670" s="5"/>
      <c r="L670" s="5"/>
    </row>
    <row r="671" ht="15.75" customHeight="1">
      <c r="J671" s="5"/>
      <c r="K671" s="5"/>
      <c r="L671" s="5"/>
    </row>
    <row r="672" ht="15.75" customHeight="1">
      <c r="J672" s="5"/>
      <c r="K672" s="5"/>
      <c r="L672" s="5"/>
    </row>
    <row r="673" ht="15.75" customHeight="1">
      <c r="J673" s="5"/>
      <c r="K673" s="5"/>
      <c r="L673" s="5"/>
    </row>
    <row r="674" ht="15.75" customHeight="1">
      <c r="J674" s="5"/>
      <c r="K674" s="5"/>
      <c r="L674" s="5"/>
    </row>
    <row r="675" ht="15.75" customHeight="1">
      <c r="J675" s="5"/>
      <c r="K675" s="5"/>
      <c r="L675" s="5"/>
    </row>
    <row r="676" ht="15.75" customHeight="1">
      <c r="J676" s="5"/>
      <c r="K676" s="5"/>
      <c r="L676" s="5"/>
    </row>
    <row r="677" ht="15.75" customHeight="1">
      <c r="J677" s="5"/>
      <c r="K677" s="5"/>
      <c r="L677" s="5"/>
    </row>
    <row r="678" ht="15.75" customHeight="1">
      <c r="J678" s="5"/>
      <c r="K678" s="5"/>
      <c r="L678" s="5"/>
    </row>
    <row r="679" ht="15.75" customHeight="1">
      <c r="J679" s="5"/>
      <c r="K679" s="5"/>
      <c r="L679" s="5"/>
    </row>
    <row r="680" ht="15.75" customHeight="1">
      <c r="J680" s="5"/>
      <c r="K680" s="5"/>
      <c r="L680" s="5"/>
    </row>
    <row r="681" ht="15.75" customHeight="1">
      <c r="J681" s="5"/>
      <c r="K681" s="5"/>
      <c r="L681" s="5"/>
    </row>
    <row r="682" ht="15.75" customHeight="1">
      <c r="J682" s="5"/>
      <c r="K682" s="5"/>
      <c r="L682" s="5"/>
    </row>
    <row r="683" ht="15.75" customHeight="1">
      <c r="J683" s="5"/>
      <c r="K683" s="5"/>
      <c r="L683" s="5"/>
    </row>
    <row r="684" ht="15.75" customHeight="1">
      <c r="J684" s="5"/>
      <c r="K684" s="5"/>
      <c r="L684" s="5"/>
    </row>
    <row r="685" ht="15.75" customHeight="1">
      <c r="J685" s="5"/>
      <c r="K685" s="5"/>
      <c r="L685" s="5"/>
    </row>
    <row r="686" ht="15.75" customHeight="1">
      <c r="J686" s="5"/>
      <c r="K686" s="5"/>
      <c r="L686" s="5"/>
    </row>
    <row r="687" ht="15.75" customHeight="1">
      <c r="J687" s="5"/>
      <c r="K687" s="5"/>
      <c r="L687" s="5"/>
    </row>
    <row r="688" ht="15.75" customHeight="1">
      <c r="J688" s="5"/>
      <c r="K688" s="5"/>
      <c r="L688" s="5"/>
    </row>
    <row r="689" ht="15.75" customHeight="1">
      <c r="J689" s="5"/>
      <c r="K689" s="5"/>
      <c r="L689" s="5"/>
    </row>
    <row r="690" ht="15.75" customHeight="1">
      <c r="J690" s="5"/>
      <c r="K690" s="5"/>
      <c r="L690" s="5"/>
    </row>
    <row r="691" ht="15.75" customHeight="1">
      <c r="J691" s="5"/>
      <c r="K691" s="5"/>
      <c r="L691" s="5"/>
    </row>
    <row r="692" ht="15.75" customHeight="1">
      <c r="J692" s="5"/>
      <c r="K692" s="5"/>
      <c r="L692" s="5"/>
    </row>
    <row r="693" ht="15.75" customHeight="1">
      <c r="J693" s="5"/>
      <c r="K693" s="5"/>
      <c r="L693" s="5"/>
    </row>
    <row r="694" ht="15.75" customHeight="1">
      <c r="J694" s="5"/>
      <c r="K694" s="5"/>
      <c r="L694" s="5"/>
    </row>
    <row r="695" ht="15.75" customHeight="1">
      <c r="J695" s="5"/>
      <c r="K695" s="5"/>
      <c r="L695" s="5"/>
    </row>
    <row r="696" ht="15.75" customHeight="1">
      <c r="J696" s="5"/>
      <c r="K696" s="5"/>
      <c r="L696" s="5"/>
    </row>
    <row r="697" ht="15.75" customHeight="1">
      <c r="J697" s="5"/>
      <c r="K697" s="5"/>
      <c r="L697" s="5"/>
    </row>
    <row r="698" ht="15.75" customHeight="1">
      <c r="J698" s="5"/>
      <c r="K698" s="5"/>
      <c r="L698" s="5"/>
    </row>
    <row r="699" ht="15.75" customHeight="1">
      <c r="J699" s="5"/>
      <c r="K699" s="5"/>
      <c r="L699" s="5"/>
    </row>
    <row r="700" ht="15.75" customHeight="1">
      <c r="J700" s="5"/>
      <c r="K700" s="5"/>
      <c r="L700" s="5"/>
    </row>
    <row r="701" ht="15.75" customHeight="1">
      <c r="J701" s="5"/>
      <c r="K701" s="5"/>
      <c r="L701" s="5"/>
    </row>
    <row r="702" ht="15.75" customHeight="1">
      <c r="J702" s="5"/>
      <c r="K702" s="5"/>
      <c r="L702" s="5"/>
    </row>
    <row r="703" ht="15.75" customHeight="1">
      <c r="J703" s="5"/>
      <c r="K703" s="5"/>
      <c r="L703" s="5"/>
    </row>
    <row r="704" ht="15.75" customHeight="1">
      <c r="J704" s="5"/>
      <c r="K704" s="5"/>
      <c r="L704" s="5"/>
    </row>
    <row r="705" ht="15.75" customHeight="1">
      <c r="J705" s="5"/>
      <c r="K705" s="5"/>
      <c r="L705" s="5"/>
    </row>
    <row r="706" ht="15.75" customHeight="1">
      <c r="J706" s="5"/>
      <c r="K706" s="5"/>
      <c r="L706" s="5"/>
    </row>
    <row r="707" ht="15.75" customHeight="1">
      <c r="J707" s="5"/>
      <c r="K707" s="5"/>
      <c r="L707" s="5"/>
    </row>
    <row r="708" ht="15.75" customHeight="1">
      <c r="J708" s="5"/>
      <c r="K708" s="5"/>
      <c r="L708" s="5"/>
    </row>
    <row r="709" ht="15.75" customHeight="1">
      <c r="J709" s="5"/>
      <c r="K709" s="5"/>
      <c r="L709" s="5"/>
    </row>
    <row r="710" ht="15.75" customHeight="1">
      <c r="J710" s="5"/>
      <c r="K710" s="5"/>
      <c r="L710" s="5"/>
    </row>
    <row r="711" ht="15.75" customHeight="1">
      <c r="J711" s="5"/>
      <c r="K711" s="5"/>
      <c r="L711" s="5"/>
    </row>
    <row r="712" ht="15.75" customHeight="1">
      <c r="J712" s="5"/>
      <c r="K712" s="5"/>
      <c r="L712" s="5"/>
    </row>
    <row r="713" ht="15.75" customHeight="1">
      <c r="J713" s="5"/>
      <c r="K713" s="5"/>
      <c r="L713" s="5"/>
    </row>
    <row r="714" ht="15.75" customHeight="1">
      <c r="J714" s="5"/>
      <c r="K714" s="5"/>
      <c r="L714" s="5"/>
    </row>
    <row r="715" ht="15.75" customHeight="1">
      <c r="J715" s="5"/>
      <c r="K715" s="5"/>
      <c r="L715" s="5"/>
    </row>
    <row r="716" ht="15.75" customHeight="1">
      <c r="J716" s="5"/>
      <c r="K716" s="5"/>
      <c r="L716" s="5"/>
    </row>
    <row r="717" ht="15.75" customHeight="1">
      <c r="J717" s="5"/>
      <c r="K717" s="5"/>
      <c r="L717" s="5"/>
    </row>
    <row r="718" ht="15.75" customHeight="1">
      <c r="J718" s="5"/>
      <c r="K718" s="5"/>
      <c r="L718" s="5"/>
    </row>
    <row r="719" ht="15.75" customHeight="1">
      <c r="J719" s="5"/>
      <c r="K719" s="5"/>
      <c r="L719" s="5"/>
    </row>
    <row r="720" ht="15.75" customHeight="1">
      <c r="J720" s="5"/>
      <c r="K720" s="5"/>
      <c r="L720" s="5"/>
    </row>
    <row r="721" ht="15.75" customHeight="1">
      <c r="J721" s="5"/>
      <c r="K721" s="5"/>
      <c r="L721" s="5"/>
    </row>
    <row r="722" ht="15.75" customHeight="1">
      <c r="J722" s="5"/>
      <c r="K722" s="5"/>
      <c r="L722" s="5"/>
    </row>
    <row r="723" ht="15.75" customHeight="1">
      <c r="J723" s="5"/>
      <c r="K723" s="5"/>
      <c r="L723" s="5"/>
    </row>
    <row r="724" ht="15.75" customHeight="1">
      <c r="J724" s="5"/>
      <c r="K724" s="5"/>
      <c r="L724" s="5"/>
    </row>
    <row r="725" ht="15.75" customHeight="1">
      <c r="J725" s="5"/>
      <c r="K725" s="5"/>
      <c r="L725" s="5"/>
    </row>
    <row r="726" ht="15.75" customHeight="1">
      <c r="J726" s="5"/>
      <c r="K726" s="5"/>
      <c r="L726" s="5"/>
    </row>
    <row r="727" ht="15.75" customHeight="1">
      <c r="J727" s="5"/>
      <c r="K727" s="5"/>
      <c r="L727" s="5"/>
    </row>
    <row r="728" ht="15.75" customHeight="1">
      <c r="J728" s="5"/>
      <c r="K728" s="5"/>
      <c r="L728" s="5"/>
    </row>
    <row r="729" ht="15.75" customHeight="1">
      <c r="J729" s="5"/>
      <c r="K729" s="5"/>
      <c r="L729" s="5"/>
    </row>
    <row r="730" ht="15.75" customHeight="1">
      <c r="J730" s="5"/>
      <c r="K730" s="5"/>
      <c r="L730" s="5"/>
    </row>
    <row r="731" ht="15.75" customHeight="1">
      <c r="J731" s="5"/>
      <c r="K731" s="5"/>
      <c r="L731" s="5"/>
    </row>
    <row r="732" ht="15.75" customHeight="1">
      <c r="J732" s="5"/>
      <c r="K732" s="5"/>
      <c r="L732" s="5"/>
    </row>
    <row r="733" ht="15.75" customHeight="1">
      <c r="J733" s="5"/>
      <c r="K733" s="5"/>
      <c r="L733" s="5"/>
    </row>
    <row r="734" ht="15.75" customHeight="1">
      <c r="J734" s="5"/>
      <c r="K734" s="5"/>
      <c r="L734" s="5"/>
    </row>
    <row r="735" ht="15.75" customHeight="1">
      <c r="J735" s="5"/>
      <c r="K735" s="5"/>
      <c r="L735" s="5"/>
    </row>
    <row r="736" ht="15.75" customHeight="1">
      <c r="J736" s="5"/>
      <c r="K736" s="5"/>
      <c r="L736" s="5"/>
    </row>
    <row r="737" ht="15.75" customHeight="1">
      <c r="J737" s="5"/>
      <c r="K737" s="5"/>
      <c r="L737" s="5"/>
    </row>
    <row r="738" ht="15.75" customHeight="1">
      <c r="J738" s="5"/>
      <c r="K738" s="5"/>
      <c r="L738" s="5"/>
    </row>
    <row r="739" ht="15.75" customHeight="1">
      <c r="J739" s="5"/>
      <c r="K739" s="5"/>
      <c r="L739" s="5"/>
    </row>
    <row r="740" ht="15.75" customHeight="1">
      <c r="J740" s="5"/>
      <c r="K740" s="5"/>
      <c r="L740" s="5"/>
    </row>
    <row r="741" ht="15.75" customHeight="1">
      <c r="J741" s="5"/>
      <c r="K741" s="5"/>
      <c r="L741" s="5"/>
    </row>
    <row r="742" ht="15.75" customHeight="1">
      <c r="J742" s="5"/>
      <c r="K742" s="5"/>
      <c r="L742" s="5"/>
    </row>
    <row r="743" ht="15.75" customHeight="1">
      <c r="J743" s="5"/>
      <c r="K743" s="5"/>
      <c r="L743" s="5"/>
    </row>
    <row r="744" ht="15.75" customHeight="1">
      <c r="J744" s="5"/>
      <c r="K744" s="5"/>
      <c r="L744" s="5"/>
    </row>
    <row r="745" ht="15.75" customHeight="1">
      <c r="J745" s="5"/>
      <c r="K745" s="5"/>
      <c r="L745" s="5"/>
    </row>
    <row r="746" ht="15.75" customHeight="1">
      <c r="J746" s="5"/>
      <c r="K746" s="5"/>
      <c r="L746" s="5"/>
    </row>
    <row r="747" ht="15.75" customHeight="1">
      <c r="J747" s="5"/>
      <c r="K747" s="5"/>
      <c r="L747" s="5"/>
    </row>
    <row r="748" ht="15.75" customHeight="1">
      <c r="J748" s="5"/>
      <c r="K748" s="5"/>
      <c r="L748" s="5"/>
    </row>
    <row r="749" ht="15.75" customHeight="1">
      <c r="J749" s="5"/>
      <c r="K749" s="5"/>
      <c r="L749" s="5"/>
    </row>
    <row r="750" ht="15.75" customHeight="1">
      <c r="J750" s="5"/>
      <c r="K750" s="5"/>
      <c r="L750" s="5"/>
    </row>
    <row r="751" ht="15.75" customHeight="1">
      <c r="J751" s="5"/>
      <c r="K751" s="5"/>
      <c r="L751" s="5"/>
    </row>
    <row r="752" ht="15.75" customHeight="1">
      <c r="J752" s="5"/>
      <c r="K752" s="5"/>
      <c r="L752" s="5"/>
    </row>
    <row r="753" ht="15.75" customHeight="1">
      <c r="J753" s="5"/>
      <c r="K753" s="5"/>
      <c r="L753" s="5"/>
    </row>
    <row r="754" ht="15.75" customHeight="1">
      <c r="J754" s="5"/>
      <c r="K754" s="5"/>
      <c r="L754" s="5"/>
    </row>
    <row r="755" ht="15.75" customHeight="1">
      <c r="J755" s="5"/>
      <c r="K755" s="5"/>
      <c r="L755" s="5"/>
    </row>
    <row r="756" ht="15.75" customHeight="1">
      <c r="J756" s="5"/>
      <c r="K756" s="5"/>
      <c r="L756" s="5"/>
    </row>
    <row r="757" ht="15.75" customHeight="1">
      <c r="J757" s="5"/>
      <c r="K757" s="5"/>
      <c r="L757" s="5"/>
    </row>
    <row r="758" ht="15.75" customHeight="1">
      <c r="J758" s="5"/>
      <c r="K758" s="5"/>
      <c r="L758" s="5"/>
    </row>
    <row r="759" ht="15.75" customHeight="1">
      <c r="J759" s="5"/>
      <c r="K759" s="5"/>
      <c r="L759" s="5"/>
    </row>
    <row r="760" ht="15.75" customHeight="1">
      <c r="J760" s="5"/>
      <c r="K760" s="5"/>
      <c r="L760" s="5"/>
    </row>
    <row r="761" ht="15.75" customHeight="1">
      <c r="J761" s="5"/>
      <c r="K761" s="5"/>
      <c r="L761" s="5"/>
    </row>
    <row r="762" ht="15.75" customHeight="1">
      <c r="J762" s="5"/>
      <c r="K762" s="5"/>
      <c r="L762" s="5"/>
    </row>
    <row r="763" ht="15.75" customHeight="1">
      <c r="J763" s="5"/>
      <c r="K763" s="5"/>
      <c r="L763" s="5"/>
    </row>
    <row r="764" ht="15.75" customHeight="1">
      <c r="J764" s="5"/>
      <c r="K764" s="5"/>
      <c r="L764" s="5"/>
    </row>
    <row r="765" ht="15.75" customHeight="1">
      <c r="J765" s="5"/>
      <c r="K765" s="5"/>
      <c r="L765" s="5"/>
    </row>
    <row r="766" ht="15.75" customHeight="1">
      <c r="J766" s="5"/>
      <c r="K766" s="5"/>
      <c r="L766" s="5"/>
    </row>
    <row r="767" ht="15.75" customHeight="1">
      <c r="J767" s="5"/>
      <c r="K767" s="5"/>
      <c r="L767" s="5"/>
    </row>
    <row r="768" ht="15.75" customHeight="1">
      <c r="J768" s="5"/>
      <c r="K768" s="5"/>
      <c r="L768" s="5"/>
    </row>
    <row r="769" ht="15.75" customHeight="1">
      <c r="J769" s="5"/>
      <c r="K769" s="5"/>
      <c r="L769" s="5"/>
    </row>
    <row r="770" ht="15.75" customHeight="1">
      <c r="J770" s="5"/>
      <c r="K770" s="5"/>
      <c r="L770" s="5"/>
    </row>
    <row r="771" ht="15.75" customHeight="1">
      <c r="J771" s="5"/>
      <c r="K771" s="5"/>
      <c r="L771" s="5"/>
    </row>
    <row r="772" ht="15.75" customHeight="1">
      <c r="J772" s="5"/>
      <c r="K772" s="5"/>
      <c r="L772" s="5"/>
    </row>
    <row r="773" ht="15.75" customHeight="1">
      <c r="J773" s="5"/>
      <c r="K773" s="5"/>
      <c r="L773" s="5"/>
    </row>
    <row r="774" ht="15.75" customHeight="1">
      <c r="J774" s="5"/>
      <c r="K774" s="5"/>
      <c r="L774" s="5"/>
    </row>
    <row r="775" ht="15.75" customHeight="1">
      <c r="J775" s="5"/>
      <c r="K775" s="5"/>
      <c r="L775" s="5"/>
    </row>
    <row r="776" ht="15.75" customHeight="1">
      <c r="J776" s="5"/>
      <c r="K776" s="5"/>
      <c r="L776" s="5"/>
    </row>
    <row r="777" ht="15.75" customHeight="1">
      <c r="J777" s="5"/>
      <c r="K777" s="5"/>
      <c r="L777" s="5"/>
    </row>
    <row r="778" ht="15.75" customHeight="1">
      <c r="J778" s="5"/>
      <c r="K778" s="5"/>
      <c r="L778" s="5"/>
    </row>
    <row r="779" ht="15.75" customHeight="1">
      <c r="J779" s="5"/>
      <c r="K779" s="5"/>
      <c r="L779" s="5"/>
    </row>
    <row r="780" ht="15.75" customHeight="1">
      <c r="J780" s="5"/>
      <c r="K780" s="5"/>
      <c r="L780" s="5"/>
    </row>
    <row r="781" ht="15.75" customHeight="1">
      <c r="J781" s="5"/>
      <c r="K781" s="5"/>
      <c r="L781" s="5"/>
    </row>
    <row r="782" ht="15.75" customHeight="1">
      <c r="J782" s="5"/>
      <c r="K782" s="5"/>
      <c r="L782" s="5"/>
    </row>
    <row r="783" ht="15.75" customHeight="1">
      <c r="J783" s="5"/>
      <c r="K783" s="5"/>
      <c r="L783" s="5"/>
    </row>
    <row r="784" ht="15.75" customHeight="1">
      <c r="J784" s="5"/>
      <c r="K784" s="5"/>
      <c r="L784" s="5"/>
    </row>
    <row r="785" ht="15.75" customHeight="1">
      <c r="J785" s="5"/>
      <c r="K785" s="5"/>
      <c r="L785" s="5"/>
    </row>
    <row r="786" ht="15.75" customHeight="1">
      <c r="J786" s="5"/>
      <c r="K786" s="5"/>
      <c r="L786" s="5"/>
    </row>
    <row r="787" ht="15.75" customHeight="1">
      <c r="J787" s="5"/>
      <c r="K787" s="5"/>
      <c r="L787" s="5"/>
    </row>
    <row r="788" ht="15.75" customHeight="1">
      <c r="J788" s="5"/>
      <c r="K788" s="5"/>
      <c r="L788" s="5"/>
    </row>
    <row r="789" ht="15.75" customHeight="1">
      <c r="J789" s="5"/>
      <c r="K789" s="5"/>
      <c r="L789" s="5"/>
    </row>
    <row r="790" ht="15.75" customHeight="1">
      <c r="J790" s="5"/>
      <c r="K790" s="5"/>
      <c r="L790" s="5"/>
    </row>
    <row r="791" ht="15.75" customHeight="1">
      <c r="J791" s="5"/>
      <c r="K791" s="5"/>
      <c r="L791" s="5"/>
    </row>
    <row r="792" ht="15.75" customHeight="1">
      <c r="J792" s="5"/>
      <c r="K792" s="5"/>
      <c r="L792" s="5"/>
    </row>
    <row r="793" ht="15.75" customHeight="1">
      <c r="J793" s="5"/>
      <c r="K793" s="5"/>
      <c r="L793" s="5"/>
    </row>
    <row r="794" ht="15.75" customHeight="1">
      <c r="J794" s="5"/>
      <c r="K794" s="5"/>
      <c r="L794" s="5"/>
    </row>
    <row r="795" ht="15.75" customHeight="1">
      <c r="J795" s="5"/>
      <c r="K795" s="5"/>
      <c r="L795" s="5"/>
    </row>
    <row r="796" ht="15.75" customHeight="1">
      <c r="J796" s="5"/>
      <c r="K796" s="5"/>
      <c r="L796" s="5"/>
    </row>
    <row r="797" ht="15.75" customHeight="1">
      <c r="J797" s="5"/>
      <c r="K797" s="5"/>
      <c r="L797" s="5"/>
    </row>
    <row r="798" ht="15.75" customHeight="1">
      <c r="J798" s="5"/>
      <c r="K798" s="5"/>
      <c r="L798" s="5"/>
    </row>
    <row r="799" ht="15.75" customHeight="1">
      <c r="J799" s="5"/>
      <c r="K799" s="5"/>
      <c r="L799" s="5"/>
    </row>
    <row r="800" ht="15.75" customHeight="1">
      <c r="J800" s="5"/>
      <c r="K800" s="5"/>
      <c r="L800" s="5"/>
    </row>
    <row r="801" ht="15.75" customHeight="1">
      <c r="J801" s="5"/>
      <c r="K801" s="5"/>
      <c r="L801" s="5"/>
    </row>
    <row r="802" ht="15.75" customHeight="1">
      <c r="J802" s="5"/>
      <c r="K802" s="5"/>
      <c r="L802" s="5"/>
    </row>
    <row r="803" ht="15.75" customHeight="1">
      <c r="J803" s="5"/>
      <c r="K803" s="5"/>
      <c r="L803" s="5"/>
    </row>
    <row r="804" ht="15.75" customHeight="1">
      <c r="J804" s="5"/>
      <c r="K804" s="5"/>
      <c r="L804" s="5"/>
    </row>
    <row r="805" ht="15.75" customHeight="1">
      <c r="J805" s="5"/>
      <c r="K805" s="5"/>
      <c r="L805" s="5"/>
    </row>
    <row r="806" ht="15.75" customHeight="1">
      <c r="J806" s="5"/>
      <c r="K806" s="5"/>
      <c r="L806" s="5"/>
    </row>
    <row r="807" ht="15.75" customHeight="1">
      <c r="J807" s="5"/>
      <c r="K807" s="5"/>
      <c r="L807" s="5"/>
    </row>
    <row r="808" ht="15.75" customHeight="1">
      <c r="J808" s="5"/>
      <c r="K808" s="5"/>
      <c r="L808" s="5"/>
    </row>
    <row r="809" ht="15.75" customHeight="1">
      <c r="J809" s="5"/>
      <c r="K809" s="5"/>
      <c r="L809" s="5"/>
    </row>
    <row r="810" ht="15.75" customHeight="1">
      <c r="J810" s="5"/>
      <c r="K810" s="5"/>
      <c r="L810" s="5"/>
    </row>
    <row r="811" ht="15.75" customHeight="1">
      <c r="J811" s="5"/>
      <c r="K811" s="5"/>
      <c r="L811" s="5"/>
    </row>
    <row r="812" ht="15.75" customHeight="1">
      <c r="J812" s="5"/>
      <c r="K812" s="5"/>
      <c r="L812" s="5"/>
    </row>
    <row r="813" ht="15.75" customHeight="1">
      <c r="J813" s="5"/>
      <c r="K813" s="5"/>
      <c r="L813" s="5"/>
    </row>
    <row r="814" ht="15.75" customHeight="1">
      <c r="J814" s="5"/>
      <c r="K814" s="5"/>
      <c r="L814" s="5"/>
    </row>
    <row r="815" ht="15.75" customHeight="1">
      <c r="J815" s="5"/>
      <c r="K815" s="5"/>
      <c r="L815" s="5"/>
    </row>
    <row r="816" ht="15.75" customHeight="1">
      <c r="J816" s="5"/>
      <c r="K816" s="5"/>
      <c r="L816" s="5"/>
    </row>
    <row r="817" ht="15.75" customHeight="1">
      <c r="J817" s="5"/>
      <c r="K817" s="5"/>
      <c r="L817" s="5"/>
    </row>
    <row r="818" ht="15.75" customHeight="1">
      <c r="J818" s="5"/>
      <c r="K818" s="5"/>
      <c r="L818" s="5"/>
    </row>
    <row r="819" ht="15.75" customHeight="1">
      <c r="J819" s="5"/>
      <c r="K819" s="5"/>
      <c r="L819" s="5"/>
    </row>
    <row r="820" ht="15.75" customHeight="1">
      <c r="J820" s="5"/>
      <c r="K820" s="5"/>
      <c r="L820" s="5"/>
    </row>
    <row r="821" ht="15.75" customHeight="1">
      <c r="J821" s="5"/>
      <c r="K821" s="5"/>
      <c r="L821" s="5"/>
    </row>
    <row r="822" ht="15.75" customHeight="1">
      <c r="J822" s="5"/>
      <c r="K822" s="5"/>
      <c r="L822" s="5"/>
    </row>
    <row r="823" ht="15.75" customHeight="1">
      <c r="J823" s="5"/>
      <c r="K823" s="5"/>
      <c r="L823" s="5"/>
    </row>
    <row r="824" ht="15.75" customHeight="1">
      <c r="J824" s="5"/>
      <c r="K824" s="5"/>
      <c r="L824" s="5"/>
    </row>
    <row r="825" ht="15.75" customHeight="1">
      <c r="J825" s="5"/>
      <c r="K825" s="5"/>
      <c r="L825" s="5"/>
    </row>
    <row r="826" ht="15.75" customHeight="1">
      <c r="J826" s="5"/>
      <c r="K826" s="5"/>
      <c r="L826" s="5"/>
    </row>
    <row r="827" ht="15.75" customHeight="1">
      <c r="J827" s="5"/>
      <c r="K827" s="5"/>
      <c r="L827" s="5"/>
    </row>
    <row r="828" ht="15.75" customHeight="1">
      <c r="J828" s="5"/>
      <c r="K828" s="5"/>
      <c r="L828" s="5"/>
    </row>
    <row r="829" ht="15.75" customHeight="1">
      <c r="J829" s="5"/>
      <c r="K829" s="5"/>
      <c r="L829" s="5"/>
    </row>
    <row r="830" ht="15.75" customHeight="1">
      <c r="J830" s="5"/>
      <c r="K830" s="5"/>
      <c r="L830" s="5"/>
    </row>
    <row r="831" ht="15.75" customHeight="1">
      <c r="J831" s="5"/>
      <c r="K831" s="5"/>
      <c r="L831" s="5"/>
    </row>
    <row r="832" ht="15.75" customHeight="1">
      <c r="J832" s="5"/>
      <c r="K832" s="5"/>
      <c r="L832" s="5"/>
    </row>
    <row r="833" ht="15.75" customHeight="1">
      <c r="J833" s="5"/>
      <c r="K833" s="5"/>
      <c r="L833" s="5"/>
    </row>
    <row r="834" ht="15.75" customHeight="1">
      <c r="J834" s="5"/>
      <c r="K834" s="5"/>
      <c r="L834" s="5"/>
    </row>
    <row r="835" ht="15.75" customHeight="1">
      <c r="J835" s="5"/>
      <c r="K835" s="5"/>
      <c r="L835" s="5"/>
    </row>
    <row r="836" ht="15.75" customHeight="1">
      <c r="J836" s="5"/>
      <c r="K836" s="5"/>
      <c r="L836" s="5"/>
    </row>
    <row r="837" ht="15.75" customHeight="1">
      <c r="J837" s="5"/>
      <c r="K837" s="5"/>
      <c r="L837" s="5"/>
    </row>
    <row r="838" ht="15.75" customHeight="1">
      <c r="J838" s="5"/>
      <c r="K838" s="5"/>
      <c r="L838" s="5"/>
    </row>
    <row r="839" ht="15.75" customHeight="1">
      <c r="J839" s="5"/>
      <c r="K839" s="5"/>
      <c r="L839" s="5"/>
    </row>
    <row r="840" ht="15.75" customHeight="1">
      <c r="J840" s="5"/>
      <c r="K840" s="5"/>
      <c r="L840" s="5"/>
    </row>
    <row r="841" ht="15.75" customHeight="1">
      <c r="J841" s="5"/>
      <c r="K841" s="5"/>
      <c r="L841" s="5"/>
    </row>
    <row r="842" ht="15.75" customHeight="1">
      <c r="J842" s="5"/>
      <c r="K842" s="5"/>
      <c r="L842" s="5"/>
    </row>
    <row r="843" ht="15.75" customHeight="1">
      <c r="J843" s="5"/>
      <c r="K843" s="5"/>
      <c r="L843" s="5"/>
    </row>
    <row r="844" ht="15.75" customHeight="1">
      <c r="J844" s="5"/>
      <c r="K844" s="5"/>
      <c r="L844" s="5"/>
    </row>
    <row r="845" ht="15.75" customHeight="1">
      <c r="J845" s="5"/>
      <c r="K845" s="5"/>
      <c r="L845" s="5"/>
    </row>
    <row r="846" ht="15.75" customHeight="1">
      <c r="J846" s="5"/>
      <c r="K846" s="5"/>
      <c r="L846" s="5"/>
    </row>
    <row r="847" ht="15.75" customHeight="1">
      <c r="J847" s="5"/>
      <c r="K847" s="5"/>
      <c r="L847" s="5"/>
    </row>
    <row r="848" ht="15.75" customHeight="1">
      <c r="J848" s="5"/>
      <c r="K848" s="5"/>
      <c r="L848" s="5"/>
    </row>
    <row r="849" ht="15.75" customHeight="1">
      <c r="J849" s="5"/>
      <c r="K849" s="5"/>
      <c r="L849" s="5"/>
    </row>
    <row r="850" ht="15.75" customHeight="1">
      <c r="J850" s="5"/>
      <c r="K850" s="5"/>
      <c r="L850" s="5"/>
    </row>
    <row r="851" ht="15.75" customHeight="1">
      <c r="J851" s="5"/>
      <c r="K851" s="5"/>
      <c r="L851" s="5"/>
    </row>
    <row r="852" ht="15.75" customHeight="1">
      <c r="J852" s="5"/>
      <c r="K852" s="5"/>
      <c r="L852" s="5"/>
    </row>
    <row r="853" ht="15.75" customHeight="1">
      <c r="J853" s="5"/>
      <c r="K853" s="5"/>
      <c r="L853" s="5"/>
    </row>
    <row r="854" ht="15.75" customHeight="1">
      <c r="J854" s="5"/>
      <c r="K854" s="5"/>
      <c r="L854" s="5"/>
    </row>
    <row r="855" ht="15.75" customHeight="1">
      <c r="J855" s="5"/>
      <c r="K855" s="5"/>
      <c r="L855" s="5"/>
    </row>
    <row r="856" ht="15.75" customHeight="1">
      <c r="J856" s="5"/>
      <c r="K856" s="5"/>
      <c r="L856" s="5"/>
    </row>
    <row r="857" ht="15.75" customHeight="1">
      <c r="J857" s="5"/>
      <c r="K857" s="5"/>
      <c r="L857" s="5"/>
    </row>
    <row r="858" ht="15.75" customHeight="1">
      <c r="J858" s="5"/>
      <c r="K858" s="5"/>
      <c r="L858" s="5"/>
    </row>
    <row r="859" ht="15.75" customHeight="1">
      <c r="J859" s="5"/>
      <c r="K859" s="5"/>
      <c r="L859" s="5"/>
    </row>
    <row r="860" ht="15.75" customHeight="1">
      <c r="J860" s="5"/>
      <c r="K860" s="5"/>
      <c r="L860" s="5"/>
    </row>
    <row r="861" ht="15.75" customHeight="1">
      <c r="J861" s="5"/>
      <c r="K861" s="5"/>
      <c r="L861" s="5"/>
    </row>
    <row r="862" ht="15.75" customHeight="1">
      <c r="J862" s="5"/>
      <c r="K862" s="5"/>
      <c r="L862" s="5"/>
    </row>
    <row r="863" ht="15.75" customHeight="1">
      <c r="J863" s="5"/>
      <c r="K863" s="5"/>
      <c r="L863" s="5"/>
    </row>
    <row r="864" ht="15.75" customHeight="1">
      <c r="J864" s="5"/>
      <c r="K864" s="5"/>
      <c r="L864" s="5"/>
    </row>
    <row r="865" ht="15.75" customHeight="1">
      <c r="J865" s="5"/>
      <c r="K865" s="5"/>
      <c r="L865" s="5"/>
    </row>
    <row r="866" ht="15.75" customHeight="1">
      <c r="J866" s="5"/>
      <c r="K866" s="5"/>
      <c r="L866" s="5"/>
    </row>
    <row r="867" ht="15.75" customHeight="1">
      <c r="J867" s="5"/>
      <c r="K867" s="5"/>
      <c r="L867" s="5"/>
    </row>
    <row r="868" ht="15.75" customHeight="1">
      <c r="J868" s="5"/>
      <c r="K868" s="5"/>
      <c r="L868" s="5"/>
    </row>
    <row r="869" ht="15.75" customHeight="1">
      <c r="J869" s="5"/>
      <c r="K869" s="5"/>
      <c r="L869" s="5"/>
    </row>
    <row r="870" ht="15.75" customHeight="1">
      <c r="J870" s="5"/>
      <c r="K870" s="5"/>
      <c r="L870" s="5"/>
    </row>
    <row r="871" ht="15.75" customHeight="1">
      <c r="J871" s="5"/>
      <c r="K871" s="5"/>
      <c r="L871" s="5"/>
    </row>
    <row r="872" ht="15.75" customHeight="1">
      <c r="J872" s="5"/>
      <c r="K872" s="5"/>
      <c r="L872" s="5"/>
    </row>
    <row r="873" ht="15.75" customHeight="1">
      <c r="J873" s="5"/>
      <c r="K873" s="5"/>
      <c r="L873" s="5"/>
    </row>
    <row r="874" ht="15.75" customHeight="1">
      <c r="J874" s="5"/>
      <c r="K874" s="5"/>
      <c r="L874" s="5"/>
    </row>
    <row r="875" ht="15.75" customHeight="1">
      <c r="J875" s="5"/>
      <c r="K875" s="5"/>
      <c r="L875" s="5"/>
    </row>
    <row r="876" ht="15.75" customHeight="1">
      <c r="J876" s="5"/>
      <c r="K876" s="5"/>
      <c r="L876" s="5"/>
    </row>
    <row r="877" ht="15.75" customHeight="1">
      <c r="J877" s="5"/>
      <c r="K877" s="5"/>
      <c r="L877" s="5"/>
    </row>
    <row r="878" ht="15.75" customHeight="1">
      <c r="J878" s="5"/>
      <c r="K878" s="5"/>
      <c r="L878" s="5"/>
    </row>
    <row r="879" ht="15.75" customHeight="1">
      <c r="J879" s="5"/>
      <c r="K879" s="5"/>
      <c r="L879" s="5"/>
    </row>
    <row r="880" ht="15.75" customHeight="1">
      <c r="J880" s="5"/>
      <c r="K880" s="5"/>
      <c r="L880" s="5"/>
    </row>
    <row r="881" ht="15.75" customHeight="1">
      <c r="J881" s="5"/>
      <c r="K881" s="5"/>
      <c r="L881" s="5"/>
    </row>
    <row r="882" ht="15.75" customHeight="1">
      <c r="J882" s="5"/>
      <c r="K882" s="5"/>
      <c r="L882" s="5"/>
    </row>
    <row r="883" ht="15.75" customHeight="1">
      <c r="J883" s="5"/>
      <c r="K883" s="5"/>
      <c r="L883" s="5"/>
    </row>
    <row r="884" ht="15.75" customHeight="1">
      <c r="J884" s="5"/>
      <c r="K884" s="5"/>
      <c r="L884" s="5"/>
    </row>
    <row r="885" ht="15.75" customHeight="1">
      <c r="J885" s="5"/>
      <c r="K885" s="5"/>
      <c r="L885" s="5"/>
    </row>
    <row r="886" ht="15.75" customHeight="1">
      <c r="J886" s="5"/>
      <c r="K886" s="5"/>
      <c r="L886" s="5"/>
    </row>
    <row r="887" ht="15.75" customHeight="1">
      <c r="J887" s="5"/>
      <c r="K887" s="5"/>
      <c r="L887" s="5"/>
    </row>
    <row r="888" ht="15.75" customHeight="1">
      <c r="J888" s="5"/>
      <c r="K888" s="5"/>
      <c r="L888" s="5"/>
    </row>
    <row r="889" ht="15.75" customHeight="1">
      <c r="J889" s="5"/>
      <c r="K889" s="5"/>
      <c r="L889" s="5"/>
    </row>
    <row r="890" ht="15.75" customHeight="1">
      <c r="J890" s="5"/>
      <c r="K890" s="5"/>
      <c r="L890" s="5"/>
    </row>
    <row r="891" ht="15.75" customHeight="1">
      <c r="J891" s="5"/>
      <c r="K891" s="5"/>
      <c r="L891" s="5"/>
    </row>
    <row r="892" ht="15.75" customHeight="1">
      <c r="J892" s="5"/>
      <c r="K892" s="5"/>
      <c r="L892" s="5"/>
    </row>
    <row r="893" ht="15.75" customHeight="1">
      <c r="J893" s="5"/>
      <c r="K893" s="5"/>
      <c r="L893" s="5"/>
    </row>
    <row r="894" ht="15.75" customHeight="1">
      <c r="J894" s="5"/>
      <c r="K894" s="5"/>
      <c r="L894" s="5"/>
    </row>
    <row r="895" ht="15.75" customHeight="1">
      <c r="J895" s="5"/>
      <c r="K895" s="5"/>
      <c r="L895" s="5"/>
    </row>
    <row r="896" ht="15.75" customHeight="1">
      <c r="J896" s="5"/>
      <c r="K896" s="5"/>
      <c r="L896" s="5"/>
    </row>
    <row r="897" ht="15.75" customHeight="1">
      <c r="J897" s="5"/>
      <c r="K897" s="5"/>
      <c r="L897" s="5"/>
    </row>
    <row r="898" ht="15.75" customHeight="1">
      <c r="J898" s="5"/>
      <c r="K898" s="5"/>
      <c r="L898" s="5"/>
    </row>
    <row r="899" ht="15.75" customHeight="1">
      <c r="J899" s="5"/>
      <c r="K899" s="5"/>
      <c r="L899" s="5"/>
    </row>
    <row r="900" ht="15.75" customHeight="1">
      <c r="J900" s="5"/>
      <c r="K900" s="5"/>
      <c r="L900" s="5"/>
    </row>
    <row r="901" ht="15.75" customHeight="1">
      <c r="J901" s="5"/>
      <c r="K901" s="5"/>
      <c r="L901" s="5"/>
    </row>
    <row r="902" ht="15.75" customHeight="1">
      <c r="J902" s="5"/>
      <c r="K902" s="5"/>
      <c r="L902" s="5"/>
    </row>
    <row r="903" ht="15.75" customHeight="1">
      <c r="J903" s="5"/>
      <c r="K903" s="5"/>
      <c r="L903" s="5"/>
    </row>
    <row r="904" ht="15.75" customHeight="1">
      <c r="J904" s="5"/>
      <c r="K904" s="5"/>
      <c r="L904" s="5"/>
    </row>
    <row r="905" ht="15.75" customHeight="1">
      <c r="J905" s="5"/>
      <c r="K905" s="5"/>
      <c r="L905" s="5"/>
    </row>
    <row r="906" ht="15.75" customHeight="1">
      <c r="J906" s="5"/>
      <c r="K906" s="5"/>
      <c r="L906" s="5"/>
    </row>
    <row r="907" ht="15.75" customHeight="1">
      <c r="J907" s="5"/>
      <c r="K907" s="5"/>
      <c r="L907" s="5"/>
    </row>
    <row r="908" ht="15.75" customHeight="1">
      <c r="J908" s="5"/>
      <c r="K908" s="5"/>
      <c r="L908" s="5"/>
    </row>
    <row r="909" ht="15.75" customHeight="1">
      <c r="J909" s="5"/>
      <c r="K909" s="5"/>
      <c r="L909" s="5"/>
    </row>
    <row r="910" ht="15.75" customHeight="1">
      <c r="J910" s="5"/>
      <c r="K910" s="5"/>
      <c r="L910" s="5"/>
    </row>
    <row r="911" ht="15.75" customHeight="1">
      <c r="J911" s="5"/>
      <c r="K911" s="5"/>
      <c r="L911" s="5"/>
    </row>
    <row r="912" ht="15.75" customHeight="1">
      <c r="J912" s="5"/>
      <c r="K912" s="5"/>
      <c r="L912" s="5"/>
    </row>
    <row r="913" ht="15.75" customHeight="1">
      <c r="J913" s="5"/>
      <c r="K913" s="5"/>
      <c r="L913" s="5"/>
    </row>
    <row r="914" ht="15.75" customHeight="1">
      <c r="J914" s="5"/>
      <c r="K914" s="5"/>
      <c r="L914" s="5"/>
    </row>
    <row r="915" ht="15.75" customHeight="1">
      <c r="J915" s="5"/>
      <c r="K915" s="5"/>
      <c r="L915" s="5"/>
    </row>
    <row r="916" ht="15.75" customHeight="1">
      <c r="J916" s="5"/>
      <c r="K916" s="5"/>
      <c r="L916" s="5"/>
    </row>
    <row r="917" ht="15.75" customHeight="1">
      <c r="J917" s="5"/>
      <c r="K917" s="5"/>
      <c r="L917" s="5"/>
    </row>
    <row r="918" ht="15.75" customHeight="1">
      <c r="J918" s="5"/>
      <c r="K918" s="5"/>
      <c r="L918" s="5"/>
    </row>
    <row r="919" ht="15.75" customHeight="1">
      <c r="J919" s="5"/>
      <c r="K919" s="5"/>
      <c r="L919" s="5"/>
    </row>
    <row r="920" ht="15.75" customHeight="1">
      <c r="J920" s="5"/>
      <c r="K920" s="5"/>
      <c r="L920" s="5"/>
    </row>
    <row r="921" ht="15.75" customHeight="1">
      <c r="J921" s="5"/>
      <c r="K921" s="5"/>
      <c r="L921" s="5"/>
    </row>
    <row r="922" ht="15.75" customHeight="1">
      <c r="J922" s="5"/>
      <c r="K922" s="5"/>
      <c r="L922" s="5"/>
    </row>
    <row r="923" ht="15.75" customHeight="1">
      <c r="J923" s="5"/>
      <c r="K923" s="5"/>
      <c r="L923" s="5"/>
    </row>
    <row r="924" ht="15.75" customHeight="1">
      <c r="J924" s="5"/>
      <c r="K924" s="5"/>
      <c r="L924" s="5"/>
    </row>
    <row r="925" ht="15.75" customHeight="1">
      <c r="J925" s="5"/>
      <c r="K925" s="5"/>
      <c r="L925" s="5"/>
    </row>
    <row r="926" ht="15.75" customHeight="1">
      <c r="J926" s="5"/>
      <c r="K926" s="5"/>
      <c r="L926" s="5"/>
    </row>
    <row r="927" ht="15.75" customHeight="1">
      <c r="J927" s="5"/>
      <c r="K927" s="5"/>
      <c r="L927" s="5"/>
    </row>
    <row r="928" ht="15.75" customHeight="1">
      <c r="J928" s="5"/>
      <c r="K928" s="5"/>
      <c r="L928" s="5"/>
    </row>
    <row r="929" ht="15.75" customHeight="1">
      <c r="J929" s="5"/>
      <c r="K929" s="5"/>
      <c r="L929" s="5"/>
    </row>
    <row r="930" ht="15.75" customHeight="1">
      <c r="J930" s="5"/>
      <c r="K930" s="5"/>
      <c r="L930" s="5"/>
    </row>
    <row r="931" ht="15.75" customHeight="1">
      <c r="J931" s="5"/>
      <c r="K931" s="5"/>
      <c r="L931" s="5"/>
    </row>
    <row r="932" ht="15.75" customHeight="1">
      <c r="J932" s="5"/>
      <c r="K932" s="5"/>
      <c r="L932" s="5"/>
    </row>
    <row r="933" ht="15.75" customHeight="1">
      <c r="J933" s="5"/>
      <c r="K933" s="5"/>
      <c r="L933" s="5"/>
    </row>
    <row r="934" ht="15.75" customHeight="1">
      <c r="J934" s="5"/>
      <c r="K934" s="5"/>
      <c r="L934" s="5"/>
    </row>
    <row r="935" ht="15.75" customHeight="1">
      <c r="J935" s="5"/>
      <c r="K935" s="5"/>
      <c r="L935" s="5"/>
    </row>
    <row r="936" ht="15.75" customHeight="1">
      <c r="J936" s="5"/>
      <c r="K936" s="5"/>
      <c r="L936" s="5"/>
    </row>
    <row r="937" ht="15.75" customHeight="1">
      <c r="J937" s="5"/>
      <c r="K937" s="5"/>
      <c r="L937" s="5"/>
    </row>
    <row r="938" ht="15.75" customHeight="1">
      <c r="J938" s="5"/>
      <c r="K938" s="5"/>
      <c r="L938" s="5"/>
    </row>
    <row r="939" ht="15.75" customHeight="1">
      <c r="J939" s="5"/>
      <c r="K939" s="5"/>
      <c r="L939" s="5"/>
    </row>
    <row r="940" ht="15.75" customHeight="1">
      <c r="J940" s="5"/>
      <c r="K940" s="5"/>
      <c r="L940" s="5"/>
    </row>
    <row r="941" ht="15.75" customHeight="1">
      <c r="J941" s="5"/>
      <c r="K941" s="5"/>
      <c r="L941" s="5"/>
    </row>
    <row r="942" ht="15.75" customHeight="1">
      <c r="J942" s="5"/>
      <c r="K942" s="5"/>
      <c r="L942" s="5"/>
    </row>
    <row r="943" ht="15.75" customHeight="1">
      <c r="J943" s="5"/>
      <c r="K943" s="5"/>
      <c r="L943" s="5"/>
    </row>
    <row r="944" ht="15.75" customHeight="1">
      <c r="J944" s="5"/>
      <c r="K944" s="5"/>
      <c r="L944" s="5"/>
    </row>
    <row r="945" ht="15.75" customHeight="1">
      <c r="J945" s="5"/>
      <c r="K945" s="5"/>
      <c r="L945" s="5"/>
    </row>
    <row r="946" ht="15.75" customHeight="1">
      <c r="J946" s="5"/>
      <c r="K946" s="5"/>
      <c r="L946" s="5"/>
    </row>
    <row r="947" ht="15.75" customHeight="1">
      <c r="J947" s="5"/>
      <c r="K947" s="5"/>
      <c r="L947" s="5"/>
    </row>
    <row r="948" ht="15.75" customHeight="1">
      <c r="J948" s="5"/>
      <c r="K948" s="5"/>
      <c r="L948" s="5"/>
    </row>
    <row r="949" ht="15.75" customHeight="1">
      <c r="J949" s="5"/>
      <c r="K949" s="5"/>
      <c r="L949" s="5"/>
    </row>
    <row r="950" ht="15.75" customHeight="1">
      <c r="J950" s="5"/>
      <c r="K950" s="5"/>
      <c r="L950" s="5"/>
    </row>
    <row r="951" ht="15.75" customHeight="1">
      <c r="J951" s="5"/>
      <c r="K951" s="5"/>
      <c r="L951" s="5"/>
    </row>
    <row r="952" ht="15.75" customHeight="1">
      <c r="J952" s="5"/>
      <c r="K952" s="5"/>
      <c r="L952" s="5"/>
    </row>
    <row r="953" ht="15.75" customHeight="1">
      <c r="J953" s="5"/>
      <c r="K953" s="5"/>
      <c r="L953" s="5"/>
    </row>
    <row r="954" ht="15.75" customHeight="1">
      <c r="J954" s="5"/>
      <c r="K954" s="5"/>
      <c r="L954" s="5"/>
    </row>
    <row r="955" ht="15.75" customHeight="1">
      <c r="J955" s="5"/>
      <c r="K955" s="5"/>
      <c r="L955" s="5"/>
    </row>
    <row r="956" ht="15.75" customHeight="1">
      <c r="J956" s="5"/>
      <c r="K956" s="5"/>
      <c r="L956" s="5"/>
    </row>
    <row r="957" ht="15.75" customHeight="1">
      <c r="J957" s="5"/>
      <c r="K957" s="5"/>
      <c r="L957" s="5"/>
    </row>
    <row r="958" ht="15.75" customHeight="1">
      <c r="J958" s="5"/>
      <c r="K958" s="5"/>
      <c r="L958" s="5"/>
    </row>
    <row r="959" ht="15.75" customHeight="1">
      <c r="J959" s="5"/>
      <c r="K959" s="5"/>
      <c r="L959" s="5"/>
    </row>
    <row r="960" ht="15.75" customHeight="1">
      <c r="J960" s="5"/>
      <c r="K960" s="5"/>
      <c r="L960" s="5"/>
    </row>
    <row r="961" ht="15.75" customHeight="1">
      <c r="J961" s="5"/>
      <c r="K961" s="5"/>
      <c r="L961" s="5"/>
    </row>
    <row r="962" ht="15.75" customHeight="1">
      <c r="J962" s="5"/>
      <c r="K962" s="5"/>
      <c r="L962" s="5"/>
    </row>
    <row r="963" ht="15.75" customHeight="1">
      <c r="J963" s="5"/>
      <c r="K963" s="5"/>
      <c r="L963" s="5"/>
    </row>
    <row r="964" ht="15.75" customHeight="1">
      <c r="J964" s="5"/>
      <c r="K964" s="5"/>
      <c r="L964" s="5"/>
    </row>
    <row r="965" ht="15.75" customHeight="1">
      <c r="J965" s="5"/>
      <c r="K965" s="5"/>
      <c r="L965" s="5"/>
    </row>
    <row r="966" ht="15.75" customHeight="1">
      <c r="J966" s="5"/>
      <c r="K966" s="5"/>
      <c r="L966" s="5"/>
    </row>
    <row r="967" ht="15.75" customHeight="1">
      <c r="J967" s="5"/>
      <c r="K967" s="5"/>
      <c r="L967" s="5"/>
    </row>
    <row r="968" ht="15.75" customHeight="1">
      <c r="J968" s="5"/>
      <c r="K968" s="5"/>
      <c r="L968" s="5"/>
    </row>
    <row r="969" ht="15.75" customHeight="1">
      <c r="J969" s="5"/>
      <c r="K969" s="5"/>
      <c r="L969" s="5"/>
    </row>
    <row r="970" ht="15.75" customHeight="1">
      <c r="J970" s="5"/>
      <c r="K970" s="5"/>
      <c r="L970" s="5"/>
    </row>
    <row r="971" ht="15.75" customHeight="1">
      <c r="J971" s="5"/>
      <c r="K971" s="5"/>
      <c r="L971" s="5"/>
    </row>
    <row r="972" ht="15.75" customHeight="1">
      <c r="J972" s="5"/>
      <c r="K972" s="5"/>
      <c r="L972" s="5"/>
    </row>
    <row r="973" ht="15.75" customHeight="1">
      <c r="J973" s="5"/>
      <c r="K973" s="5"/>
      <c r="L973" s="5"/>
    </row>
    <row r="974" ht="15.75" customHeight="1">
      <c r="J974" s="5"/>
      <c r="K974" s="5"/>
      <c r="L974" s="5"/>
    </row>
    <row r="975" ht="15.75" customHeight="1">
      <c r="J975" s="5"/>
      <c r="K975" s="5"/>
      <c r="L975" s="5"/>
    </row>
    <row r="976" ht="15.75" customHeight="1">
      <c r="J976" s="5"/>
      <c r="K976" s="5"/>
      <c r="L976" s="5"/>
    </row>
    <row r="977" ht="15.75" customHeight="1">
      <c r="J977" s="5"/>
      <c r="K977" s="5"/>
      <c r="L977" s="5"/>
    </row>
    <row r="978" ht="15.75" customHeight="1">
      <c r="J978" s="5"/>
      <c r="K978" s="5"/>
      <c r="L978" s="5"/>
    </row>
    <row r="979" ht="15.75" customHeight="1">
      <c r="J979" s="5"/>
      <c r="K979" s="5"/>
      <c r="L979" s="5"/>
    </row>
    <row r="980" ht="15.75" customHeight="1">
      <c r="J980" s="5"/>
      <c r="K980" s="5"/>
      <c r="L980" s="5"/>
    </row>
    <row r="981" ht="15.75" customHeight="1">
      <c r="J981" s="5"/>
      <c r="K981" s="5"/>
      <c r="L981" s="5"/>
    </row>
    <row r="982" ht="15.75" customHeight="1">
      <c r="J982" s="5"/>
      <c r="K982" s="5"/>
      <c r="L982" s="5"/>
    </row>
    <row r="983" ht="15.75" customHeight="1">
      <c r="J983" s="5"/>
      <c r="K983" s="5"/>
      <c r="L983" s="5"/>
    </row>
    <row r="984" ht="15.75" customHeight="1">
      <c r="J984" s="5"/>
      <c r="K984" s="5"/>
      <c r="L984" s="5"/>
    </row>
    <row r="985" ht="15.75" customHeight="1">
      <c r="J985" s="5"/>
      <c r="K985" s="5"/>
      <c r="L985" s="5"/>
    </row>
    <row r="986" ht="15.75" customHeight="1">
      <c r="J986" s="5"/>
      <c r="K986" s="5"/>
      <c r="L986" s="5"/>
    </row>
    <row r="987" ht="15.75" customHeight="1">
      <c r="J987" s="5"/>
      <c r="K987" s="5"/>
      <c r="L987" s="5"/>
    </row>
    <row r="988" ht="15.75" customHeight="1">
      <c r="J988" s="5"/>
      <c r="K988" s="5"/>
      <c r="L988" s="5"/>
    </row>
    <row r="989" ht="15.75" customHeight="1">
      <c r="J989" s="5"/>
      <c r="K989" s="5"/>
      <c r="L989" s="5"/>
    </row>
    <row r="990" ht="15.75" customHeight="1">
      <c r="J990" s="5"/>
      <c r="K990" s="5"/>
      <c r="L990" s="5"/>
    </row>
    <row r="991" ht="15.75" customHeight="1">
      <c r="J991" s="5"/>
      <c r="K991" s="5"/>
      <c r="L991" s="5"/>
    </row>
    <row r="992" ht="15.75" customHeight="1">
      <c r="J992" s="5"/>
      <c r="K992" s="5"/>
      <c r="L992" s="5"/>
    </row>
    <row r="993" ht="15.75" customHeight="1">
      <c r="J993" s="5"/>
      <c r="K993" s="5"/>
      <c r="L993" s="5"/>
    </row>
    <row r="994" ht="15.75" customHeight="1">
      <c r="J994" s="5"/>
      <c r="K994" s="5"/>
      <c r="L994" s="5"/>
    </row>
    <row r="995" ht="15.75" customHeight="1">
      <c r="J995" s="5"/>
      <c r="K995" s="5"/>
      <c r="L995" s="5"/>
    </row>
    <row r="996" ht="15.75" customHeight="1">
      <c r="J996" s="5"/>
      <c r="K996" s="5"/>
      <c r="L996" s="5"/>
    </row>
    <row r="997" ht="15.75" customHeight="1">
      <c r="J997" s="5"/>
      <c r="K997" s="5"/>
      <c r="L997" s="5"/>
    </row>
    <row r="998" ht="15.75" customHeight="1">
      <c r="J998" s="5"/>
      <c r="K998" s="5"/>
      <c r="L998" s="5"/>
    </row>
    <row r="999" ht="15.75" customHeight="1">
      <c r="J999" s="5"/>
      <c r="K999" s="5"/>
      <c r="L999" s="5"/>
    </row>
    <row r="1000" ht="15.75" customHeight="1">
      <c r="J1000" s="5"/>
      <c r="K1000" s="5"/>
      <c r="L1000" s="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6" width="12.63"/>
  </cols>
  <sheetData>
    <row r="1" ht="15.75" customHeight="1">
      <c r="A1" s="1" t="s">
        <v>25</v>
      </c>
      <c r="B1" s="1" t="s">
        <v>26</v>
      </c>
      <c r="C1" s="1" t="s">
        <v>27</v>
      </c>
      <c r="D1" s="1" t="s">
        <v>97</v>
      </c>
      <c r="E1" s="1" t="s">
        <v>29</v>
      </c>
      <c r="F1" s="16" t="s">
        <v>30</v>
      </c>
      <c r="G1" s="1" t="s">
        <v>31</v>
      </c>
      <c r="H1" s="1" t="s">
        <v>32</v>
      </c>
      <c r="I1" s="1" t="s">
        <v>75</v>
      </c>
      <c r="J1" s="18" t="s">
        <v>33</v>
      </c>
      <c r="K1" s="18" t="s">
        <v>34</v>
      </c>
      <c r="L1" s="18" t="s">
        <v>35</v>
      </c>
      <c r="M1" s="4" t="s">
        <v>36</v>
      </c>
      <c r="N1" s="4" t="s">
        <v>37</v>
      </c>
      <c r="O1" s="4" t="s">
        <v>38</v>
      </c>
    </row>
    <row r="2" ht="30.0" customHeight="1">
      <c r="A2" s="21"/>
      <c r="B2" s="1">
        <v>7.0</v>
      </c>
      <c r="E2" s="1" t="s">
        <v>55</v>
      </c>
      <c r="F2" s="16">
        <v>7.8</v>
      </c>
      <c r="G2" s="17">
        <f>F2*Suppliers!$I$1</f>
        <v>5.872269</v>
      </c>
      <c r="H2" s="6">
        <v>10.0</v>
      </c>
      <c r="I2" s="17">
        <f t="shared" ref="I2:I3" si="1">G2*H2</f>
        <v>58.72269</v>
      </c>
      <c r="J2" s="18">
        <f>Suppliers!$B$21</f>
        <v>1.865586224</v>
      </c>
      <c r="K2" s="18">
        <v>0.52</v>
      </c>
      <c r="L2" s="18">
        <v>3.78</v>
      </c>
      <c r="M2" s="19">
        <f t="shared" ref="M2:M3" si="2">SUM(G2+J2+K2+L2)</f>
        <v>12.03785522</v>
      </c>
      <c r="N2" s="4">
        <v>34.99</v>
      </c>
      <c r="O2" s="20">
        <f t="shared" ref="O2:O3" si="3">(N2-M2)/N2</f>
        <v>0.655962983</v>
      </c>
    </row>
    <row r="3" ht="30.0" customHeight="1">
      <c r="A3" s="21"/>
      <c r="B3" s="1">
        <v>7.0</v>
      </c>
      <c r="E3" s="1" t="s">
        <v>55</v>
      </c>
      <c r="F3" s="16">
        <v>9.97</v>
      </c>
      <c r="G3" s="17">
        <f>F3*Suppliers!$I$1</f>
        <v>7.50596435</v>
      </c>
      <c r="H3" s="6">
        <v>10.0</v>
      </c>
      <c r="I3" s="17">
        <f t="shared" si="1"/>
        <v>75.0596435</v>
      </c>
      <c r="J3" s="18">
        <f>Suppliers!$B$21</f>
        <v>1.865586224</v>
      </c>
      <c r="K3" s="18">
        <v>0.52</v>
      </c>
      <c r="L3" s="18">
        <v>3.78</v>
      </c>
      <c r="M3" s="19">
        <f t="shared" si="2"/>
        <v>13.67155057</v>
      </c>
      <c r="N3" s="4">
        <v>34.99</v>
      </c>
      <c r="O3" s="20">
        <f t="shared" si="3"/>
        <v>0.6092726329</v>
      </c>
    </row>
    <row r="4" ht="30.0" customHeight="1">
      <c r="F4" s="16"/>
      <c r="G4" s="1" t="s">
        <v>0</v>
      </c>
      <c r="H4" s="1">
        <f t="shared" ref="H4:I4" si="4">SUM(H2:H3)</f>
        <v>20</v>
      </c>
      <c r="I4" s="17">
        <f t="shared" si="4"/>
        <v>133.7823335</v>
      </c>
    </row>
    <row r="5" ht="30.0" customHeight="1">
      <c r="F5" s="16"/>
      <c r="G5" s="17"/>
    </row>
    <row r="6" ht="30.0" customHeight="1">
      <c r="F6" s="16"/>
      <c r="G6" s="17"/>
    </row>
    <row r="7" ht="30.0" customHeight="1">
      <c r="F7" s="16"/>
      <c r="G7" s="17"/>
    </row>
    <row r="8" ht="30.0" customHeight="1">
      <c r="F8" s="16"/>
      <c r="G8" s="17"/>
    </row>
    <row r="9" ht="30.0" customHeight="1">
      <c r="F9" s="16"/>
      <c r="G9" s="17"/>
    </row>
    <row r="10" ht="30.0" customHeight="1">
      <c r="F10" s="16"/>
      <c r="G10" s="17"/>
    </row>
    <row r="11" ht="30.0" customHeight="1">
      <c r="F11" s="16"/>
      <c r="G11" s="17"/>
    </row>
    <row r="12" ht="30.0" customHeight="1">
      <c r="F12" s="16"/>
      <c r="G12" s="17"/>
    </row>
    <row r="13" ht="30.0" customHeight="1">
      <c r="F13" s="16"/>
      <c r="G13" s="17"/>
    </row>
    <row r="14" ht="15.75" customHeight="1">
      <c r="F14" s="16"/>
      <c r="G14" s="17"/>
    </row>
    <row r="15" ht="15.75" customHeight="1">
      <c r="F15" s="16"/>
      <c r="G15" s="17"/>
    </row>
    <row r="16" ht="15.75" customHeight="1">
      <c r="F16" s="16"/>
      <c r="G16" s="17"/>
    </row>
    <row r="17" ht="15.75" customHeight="1">
      <c r="F17" s="16"/>
      <c r="G17" s="17"/>
    </row>
    <row r="18" ht="15.75" customHeight="1">
      <c r="F18" s="16"/>
      <c r="G18" s="17"/>
    </row>
    <row r="19" ht="15.75" customHeight="1">
      <c r="F19" s="16"/>
      <c r="G19" s="17"/>
    </row>
    <row r="20" ht="15.75" customHeight="1">
      <c r="F20" s="16"/>
      <c r="G20" s="17"/>
    </row>
    <row r="21" ht="15.75" customHeight="1">
      <c r="F21" s="16"/>
      <c r="G21" s="17"/>
    </row>
    <row r="22" ht="15.75" customHeight="1">
      <c r="F22" s="16"/>
      <c r="G22" s="17"/>
    </row>
    <row r="23" ht="15.75" customHeight="1">
      <c r="F23" s="16"/>
      <c r="G23" s="17"/>
    </row>
    <row r="24" ht="15.75" customHeight="1">
      <c r="F24" s="16"/>
      <c r="G24" s="17"/>
    </row>
    <row r="25" ht="15.75" customHeight="1">
      <c r="F25" s="16"/>
      <c r="G25" s="17"/>
    </row>
    <row r="26" ht="15.75" customHeight="1">
      <c r="F26" s="16"/>
      <c r="G26" s="17"/>
    </row>
    <row r="27" ht="15.75" customHeight="1">
      <c r="F27" s="16"/>
      <c r="G27" s="17"/>
    </row>
    <row r="28" ht="15.75" customHeight="1">
      <c r="F28" s="16"/>
      <c r="G28" s="17"/>
    </row>
    <row r="29" ht="15.75" customHeight="1">
      <c r="F29" s="16"/>
      <c r="G29" s="17"/>
    </row>
    <row r="30" ht="15.75" customHeight="1">
      <c r="F30" s="16"/>
      <c r="G30" s="17"/>
    </row>
    <row r="31" ht="15.75" customHeight="1">
      <c r="F31" s="16"/>
      <c r="G31" s="17"/>
    </row>
    <row r="32" ht="15.75" customHeight="1">
      <c r="F32" s="16"/>
      <c r="G32" s="17"/>
    </row>
    <row r="33" ht="15.75" customHeight="1">
      <c r="F33" s="16"/>
      <c r="G33" s="17"/>
    </row>
    <row r="34" ht="15.75" customHeight="1">
      <c r="F34" s="16"/>
      <c r="G34" s="17"/>
    </row>
    <row r="35" ht="15.75" customHeight="1">
      <c r="F35" s="16"/>
      <c r="G35" s="17"/>
    </row>
    <row r="36" ht="15.75" customHeight="1">
      <c r="F36" s="16"/>
      <c r="G36" s="17"/>
    </row>
    <row r="37" ht="15.75" customHeight="1">
      <c r="F37" s="16"/>
      <c r="G37" s="17"/>
    </row>
    <row r="38" ht="15.75" customHeight="1">
      <c r="F38" s="16"/>
      <c r="G38" s="17"/>
    </row>
    <row r="39" ht="15.75" customHeight="1">
      <c r="F39" s="16"/>
      <c r="G39" s="17"/>
    </row>
    <row r="40" ht="15.75" customHeight="1">
      <c r="F40" s="16"/>
      <c r="G40" s="17"/>
    </row>
    <row r="41" ht="15.75" customHeight="1">
      <c r="F41" s="16"/>
      <c r="G41" s="17"/>
    </row>
    <row r="42" ht="15.75" customHeight="1">
      <c r="F42" s="16"/>
      <c r="G42" s="17"/>
    </row>
    <row r="43" ht="15.75" customHeight="1">
      <c r="F43" s="16"/>
      <c r="G43" s="17"/>
    </row>
    <row r="44" ht="15.75" customHeight="1">
      <c r="F44" s="16"/>
      <c r="G44" s="17"/>
    </row>
    <row r="45" ht="15.75" customHeight="1">
      <c r="F45" s="16"/>
      <c r="G45" s="17"/>
    </row>
    <row r="46" ht="15.75" customHeight="1">
      <c r="F46" s="16"/>
      <c r="G46" s="17"/>
    </row>
    <row r="47" ht="15.75" customHeight="1">
      <c r="F47" s="16"/>
      <c r="G47" s="17"/>
    </row>
    <row r="48" ht="15.75" customHeight="1">
      <c r="F48" s="16"/>
      <c r="G48" s="17"/>
    </row>
    <row r="49" ht="15.75" customHeight="1">
      <c r="F49" s="16"/>
      <c r="G49" s="17"/>
    </row>
    <row r="50" ht="15.75" customHeight="1">
      <c r="F50" s="16"/>
      <c r="G50" s="17"/>
    </row>
    <row r="51" ht="15.75" customHeight="1">
      <c r="F51" s="16"/>
      <c r="G51" s="17"/>
    </row>
    <row r="52" ht="15.75" customHeight="1">
      <c r="F52" s="16"/>
      <c r="G52" s="17"/>
    </row>
    <row r="53" ht="15.75" customHeight="1">
      <c r="F53" s="16"/>
      <c r="G53" s="17"/>
    </row>
    <row r="54" ht="15.75" customHeight="1">
      <c r="F54" s="16"/>
      <c r="G54" s="17"/>
    </row>
    <row r="55" ht="15.75" customHeight="1">
      <c r="F55" s="16"/>
      <c r="G55" s="17"/>
    </row>
    <row r="56" ht="15.75" customHeight="1">
      <c r="F56" s="16"/>
      <c r="G56" s="17"/>
    </row>
    <row r="57" ht="15.75" customHeight="1">
      <c r="F57" s="16"/>
      <c r="G57" s="17"/>
    </row>
    <row r="58" ht="15.75" customHeight="1">
      <c r="F58" s="16"/>
      <c r="G58" s="17"/>
    </row>
    <row r="59" ht="15.75" customHeight="1">
      <c r="F59" s="16"/>
      <c r="G59" s="17"/>
    </row>
    <row r="60" ht="15.75" customHeight="1">
      <c r="F60" s="16"/>
      <c r="G60" s="17"/>
    </row>
    <row r="61" ht="15.75" customHeight="1">
      <c r="F61" s="16"/>
      <c r="G61" s="17"/>
    </row>
    <row r="62" ht="15.75" customHeight="1">
      <c r="F62" s="16"/>
      <c r="G62" s="17"/>
    </row>
    <row r="63" ht="15.75" customHeight="1">
      <c r="F63" s="16"/>
      <c r="G63" s="17"/>
    </row>
    <row r="64" ht="15.75" customHeight="1">
      <c r="F64" s="16"/>
      <c r="G64" s="17"/>
    </row>
    <row r="65" ht="15.75" customHeight="1">
      <c r="F65" s="16"/>
      <c r="G65" s="17"/>
    </row>
    <row r="66" ht="15.75" customHeight="1">
      <c r="F66" s="16"/>
      <c r="G66" s="17"/>
    </row>
    <row r="67" ht="15.75" customHeight="1">
      <c r="F67" s="16"/>
      <c r="G67" s="17"/>
    </row>
    <row r="68" ht="15.75" customHeight="1">
      <c r="F68" s="16"/>
      <c r="G68" s="17"/>
    </row>
    <row r="69" ht="15.75" customHeight="1">
      <c r="F69" s="16"/>
      <c r="G69" s="17"/>
    </row>
    <row r="70" ht="15.75" customHeight="1">
      <c r="F70" s="16"/>
      <c r="G70" s="17"/>
    </row>
    <row r="71" ht="15.75" customHeight="1">
      <c r="F71" s="16"/>
      <c r="G71" s="17"/>
    </row>
    <row r="72" ht="15.75" customHeight="1">
      <c r="F72" s="16"/>
      <c r="G72" s="17"/>
    </row>
    <row r="73" ht="15.75" customHeight="1">
      <c r="F73" s="16"/>
      <c r="G73" s="17"/>
    </row>
    <row r="74" ht="15.75" customHeight="1">
      <c r="F74" s="16"/>
      <c r="G74" s="17"/>
    </row>
    <row r="75" ht="15.75" customHeight="1">
      <c r="F75" s="16"/>
      <c r="G75" s="17"/>
    </row>
    <row r="76" ht="15.75" customHeight="1">
      <c r="F76" s="16"/>
      <c r="G76" s="17"/>
    </row>
    <row r="77" ht="15.75" customHeight="1">
      <c r="F77" s="16"/>
      <c r="G77" s="17"/>
    </row>
    <row r="78" ht="15.75" customHeight="1">
      <c r="F78" s="16"/>
      <c r="G78" s="17"/>
    </row>
    <row r="79" ht="15.75" customHeight="1">
      <c r="F79" s="16"/>
      <c r="G79" s="17"/>
    </row>
    <row r="80" ht="15.75" customHeight="1">
      <c r="F80" s="16"/>
      <c r="G80" s="17"/>
    </row>
    <row r="81" ht="15.75" customHeight="1">
      <c r="F81" s="16"/>
      <c r="G81" s="17"/>
    </row>
    <row r="82" ht="15.75" customHeight="1">
      <c r="F82" s="16"/>
      <c r="G82" s="17"/>
    </row>
    <row r="83" ht="15.75" customHeight="1">
      <c r="F83" s="16"/>
      <c r="G83" s="17"/>
    </row>
    <row r="84" ht="15.75" customHeight="1">
      <c r="F84" s="16"/>
      <c r="G84" s="17"/>
    </row>
    <row r="85" ht="15.75" customHeight="1">
      <c r="F85" s="16"/>
      <c r="G85" s="17"/>
    </row>
    <row r="86" ht="15.75" customHeight="1">
      <c r="F86" s="16"/>
      <c r="G86" s="17"/>
    </row>
    <row r="87" ht="15.75" customHeight="1">
      <c r="F87" s="16"/>
      <c r="G87" s="17"/>
    </row>
    <row r="88" ht="15.75" customHeight="1">
      <c r="F88" s="16"/>
      <c r="G88" s="17"/>
    </row>
    <row r="89" ht="15.75" customHeight="1">
      <c r="F89" s="16"/>
      <c r="G89" s="17"/>
    </row>
    <row r="90" ht="15.75" customHeight="1">
      <c r="F90" s="16"/>
      <c r="G90" s="17"/>
    </row>
    <row r="91" ht="15.75" customHeight="1">
      <c r="F91" s="16"/>
      <c r="G91" s="17"/>
    </row>
    <row r="92" ht="15.75" customHeight="1">
      <c r="F92" s="16"/>
      <c r="G92" s="17"/>
    </row>
    <row r="93" ht="15.75" customHeight="1">
      <c r="F93" s="16"/>
      <c r="G93" s="17"/>
    </row>
    <row r="94" ht="15.75" customHeight="1">
      <c r="F94" s="16"/>
      <c r="G94" s="17"/>
    </row>
    <row r="95" ht="15.75" customHeight="1">
      <c r="F95" s="16"/>
      <c r="G95" s="17"/>
    </row>
    <row r="96" ht="15.75" customHeight="1">
      <c r="F96" s="16"/>
      <c r="G96" s="17"/>
    </row>
    <row r="97" ht="15.75" customHeight="1">
      <c r="F97" s="16"/>
      <c r="G97" s="17"/>
    </row>
    <row r="98" ht="15.75" customHeight="1">
      <c r="F98" s="16"/>
      <c r="G98" s="17"/>
    </row>
    <row r="99" ht="15.75" customHeight="1">
      <c r="F99" s="16"/>
      <c r="G99" s="17"/>
    </row>
    <row r="100" ht="15.75" customHeight="1">
      <c r="F100" s="16"/>
      <c r="G100" s="17"/>
    </row>
    <row r="101" ht="15.75" customHeight="1">
      <c r="F101" s="16"/>
      <c r="G101" s="17"/>
    </row>
    <row r="102" ht="15.75" customHeight="1">
      <c r="F102" s="16"/>
      <c r="G102" s="17"/>
    </row>
    <row r="103" ht="15.75" customHeight="1">
      <c r="F103" s="16"/>
      <c r="G103" s="17"/>
    </row>
    <row r="104" ht="15.75" customHeight="1">
      <c r="F104" s="16"/>
      <c r="G104" s="17"/>
    </row>
    <row r="105" ht="15.75" customHeight="1">
      <c r="F105" s="16"/>
      <c r="G105" s="17"/>
    </row>
    <row r="106" ht="15.75" customHeight="1">
      <c r="F106" s="16"/>
      <c r="G106" s="17"/>
    </row>
    <row r="107" ht="15.75" customHeight="1">
      <c r="F107" s="16"/>
      <c r="G107" s="17"/>
    </row>
    <row r="108" ht="15.75" customHeight="1">
      <c r="F108" s="16"/>
      <c r="G108" s="17"/>
    </row>
    <row r="109" ht="15.75" customHeight="1">
      <c r="F109" s="16"/>
      <c r="G109" s="17"/>
    </row>
    <row r="110" ht="15.75" customHeight="1">
      <c r="F110" s="16"/>
      <c r="G110" s="17"/>
    </row>
    <row r="111" ht="15.75" customHeight="1">
      <c r="F111" s="16"/>
      <c r="G111" s="17"/>
    </row>
    <row r="112" ht="15.75" customHeight="1">
      <c r="F112" s="16"/>
      <c r="G112" s="17"/>
    </row>
    <row r="113" ht="15.75" customHeight="1">
      <c r="F113" s="16"/>
      <c r="G113" s="17"/>
    </row>
    <row r="114" ht="15.75" customHeight="1">
      <c r="F114" s="16"/>
      <c r="G114" s="17"/>
    </row>
    <row r="115" ht="15.75" customHeight="1">
      <c r="F115" s="16"/>
      <c r="G115" s="17"/>
    </row>
    <row r="116" ht="15.75" customHeight="1">
      <c r="F116" s="16"/>
      <c r="G116" s="17"/>
    </row>
    <row r="117" ht="15.75" customHeight="1">
      <c r="F117" s="16"/>
      <c r="G117" s="17"/>
    </row>
    <row r="118" ht="15.75" customHeight="1">
      <c r="F118" s="16"/>
      <c r="G118" s="17"/>
    </row>
    <row r="119" ht="15.75" customHeight="1">
      <c r="F119" s="16"/>
      <c r="G119" s="17"/>
    </row>
    <row r="120" ht="15.75" customHeight="1">
      <c r="F120" s="16"/>
      <c r="G120" s="17"/>
    </row>
    <row r="121" ht="15.75" customHeight="1">
      <c r="F121" s="16"/>
      <c r="G121" s="17"/>
    </row>
    <row r="122" ht="15.75" customHeight="1">
      <c r="F122" s="16"/>
      <c r="G122" s="17"/>
    </row>
    <row r="123" ht="15.75" customHeight="1">
      <c r="F123" s="16"/>
      <c r="G123" s="17"/>
    </row>
    <row r="124" ht="15.75" customHeight="1">
      <c r="F124" s="16"/>
      <c r="G124" s="17"/>
    </row>
    <row r="125" ht="15.75" customHeight="1">
      <c r="F125" s="16"/>
      <c r="G125" s="17"/>
    </row>
    <row r="126" ht="15.75" customHeight="1">
      <c r="F126" s="16"/>
      <c r="G126" s="17"/>
    </row>
    <row r="127" ht="15.75" customHeight="1">
      <c r="F127" s="16"/>
      <c r="G127" s="17"/>
    </row>
    <row r="128" ht="15.75" customHeight="1">
      <c r="F128" s="16"/>
      <c r="G128" s="17"/>
    </row>
    <row r="129" ht="15.75" customHeight="1">
      <c r="F129" s="16"/>
      <c r="G129" s="17"/>
    </row>
    <row r="130" ht="15.75" customHeight="1">
      <c r="F130" s="16"/>
      <c r="G130" s="17"/>
    </row>
    <row r="131" ht="15.75" customHeight="1">
      <c r="F131" s="16"/>
      <c r="G131" s="17"/>
    </row>
    <row r="132" ht="15.75" customHeight="1">
      <c r="F132" s="16"/>
      <c r="G132" s="17"/>
    </row>
    <row r="133" ht="15.75" customHeight="1">
      <c r="F133" s="16"/>
      <c r="G133" s="17"/>
    </row>
    <row r="134" ht="15.75" customHeight="1">
      <c r="F134" s="16"/>
      <c r="G134" s="17"/>
    </row>
    <row r="135" ht="15.75" customHeight="1">
      <c r="F135" s="16"/>
      <c r="G135" s="17"/>
    </row>
    <row r="136" ht="15.75" customHeight="1">
      <c r="F136" s="16"/>
      <c r="G136" s="17"/>
    </row>
    <row r="137" ht="15.75" customHeight="1">
      <c r="F137" s="16"/>
      <c r="G137" s="17"/>
    </row>
    <row r="138" ht="15.75" customHeight="1">
      <c r="F138" s="16"/>
      <c r="G138" s="17"/>
    </row>
    <row r="139" ht="15.75" customHeight="1">
      <c r="F139" s="16"/>
      <c r="G139" s="17"/>
    </row>
    <row r="140" ht="15.75" customHeight="1">
      <c r="F140" s="16"/>
      <c r="G140" s="17"/>
    </row>
    <row r="141" ht="15.75" customHeight="1">
      <c r="F141" s="16"/>
      <c r="G141" s="17"/>
    </row>
    <row r="142" ht="15.75" customHeight="1">
      <c r="F142" s="16"/>
      <c r="G142" s="17"/>
    </row>
    <row r="143" ht="15.75" customHeight="1">
      <c r="F143" s="16"/>
      <c r="G143" s="17"/>
    </row>
    <row r="144" ht="15.75" customHeight="1">
      <c r="F144" s="16"/>
      <c r="G144" s="17"/>
    </row>
    <row r="145" ht="15.75" customHeight="1">
      <c r="F145" s="16"/>
      <c r="G145" s="17"/>
    </row>
    <row r="146" ht="15.75" customHeight="1">
      <c r="F146" s="16"/>
      <c r="G146" s="17"/>
    </row>
    <row r="147" ht="15.75" customHeight="1">
      <c r="F147" s="16"/>
      <c r="G147" s="17"/>
    </row>
    <row r="148" ht="15.75" customHeight="1">
      <c r="F148" s="16"/>
      <c r="G148" s="17"/>
    </row>
    <row r="149" ht="15.75" customHeight="1">
      <c r="F149" s="16"/>
      <c r="G149" s="17"/>
    </row>
    <row r="150" ht="15.75" customHeight="1">
      <c r="F150" s="16"/>
      <c r="G150" s="17"/>
    </row>
    <row r="151" ht="15.75" customHeight="1">
      <c r="F151" s="16"/>
      <c r="G151" s="17"/>
    </row>
    <row r="152" ht="15.75" customHeight="1">
      <c r="F152" s="16"/>
      <c r="G152" s="17"/>
    </row>
    <row r="153" ht="15.75" customHeight="1">
      <c r="F153" s="16"/>
      <c r="G153" s="17"/>
    </row>
    <row r="154" ht="15.75" customHeight="1">
      <c r="F154" s="16"/>
      <c r="G154" s="17"/>
    </row>
    <row r="155" ht="15.75" customHeight="1">
      <c r="F155" s="16"/>
      <c r="G155" s="17"/>
    </row>
    <row r="156" ht="15.75" customHeight="1">
      <c r="F156" s="16"/>
      <c r="G156" s="17"/>
    </row>
    <row r="157" ht="15.75" customHeight="1">
      <c r="F157" s="16"/>
      <c r="G157" s="17"/>
    </row>
    <row r="158" ht="15.75" customHeight="1">
      <c r="F158" s="16"/>
      <c r="G158" s="17"/>
    </row>
    <row r="159" ht="15.75" customHeight="1">
      <c r="F159" s="16"/>
      <c r="G159" s="17"/>
    </row>
    <row r="160" ht="15.75" customHeight="1">
      <c r="F160" s="16"/>
      <c r="G160" s="17"/>
    </row>
    <row r="161" ht="15.75" customHeight="1">
      <c r="F161" s="16"/>
      <c r="G161" s="17"/>
    </row>
    <row r="162" ht="15.75" customHeight="1">
      <c r="F162" s="16"/>
      <c r="G162" s="17"/>
    </row>
    <row r="163" ht="15.75" customHeight="1">
      <c r="F163" s="16"/>
      <c r="G163" s="17"/>
    </row>
    <row r="164" ht="15.75" customHeight="1">
      <c r="F164" s="16"/>
      <c r="G164" s="17"/>
    </row>
    <row r="165" ht="15.75" customHeight="1">
      <c r="F165" s="16"/>
      <c r="G165" s="17"/>
    </row>
    <row r="166" ht="15.75" customHeight="1">
      <c r="F166" s="16"/>
      <c r="G166" s="17"/>
    </row>
    <row r="167" ht="15.75" customHeight="1">
      <c r="F167" s="16"/>
      <c r="G167" s="17"/>
    </row>
    <row r="168" ht="15.75" customHeight="1">
      <c r="F168" s="16"/>
      <c r="G168" s="17"/>
    </row>
    <row r="169" ht="15.75" customHeight="1">
      <c r="F169" s="16"/>
      <c r="G169" s="17"/>
    </row>
    <row r="170" ht="15.75" customHeight="1">
      <c r="F170" s="16"/>
      <c r="G170" s="17"/>
    </row>
    <row r="171" ht="15.75" customHeight="1">
      <c r="F171" s="16"/>
      <c r="G171" s="17"/>
    </row>
    <row r="172" ht="15.75" customHeight="1">
      <c r="F172" s="16"/>
      <c r="G172" s="17"/>
    </row>
    <row r="173" ht="15.75" customHeight="1">
      <c r="F173" s="16"/>
      <c r="G173" s="17"/>
    </row>
    <row r="174" ht="15.75" customHeight="1">
      <c r="F174" s="16"/>
      <c r="G174" s="17"/>
    </row>
    <row r="175" ht="15.75" customHeight="1">
      <c r="F175" s="16"/>
      <c r="G175" s="17"/>
    </row>
    <row r="176" ht="15.75" customHeight="1">
      <c r="F176" s="16"/>
      <c r="G176" s="17"/>
    </row>
    <row r="177" ht="15.75" customHeight="1">
      <c r="F177" s="16"/>
      <c r="G177" s="17"/>
    </row>
    <row r="178" ht="15.75" customHeight="1">
      <c r="F178" s="16"/>
      <c r="G178" s="17"/>
    </row>
    <row r="179" ht="15.75" customHeight="1">
      <c r="F179" s="16"/>
      <c r="G179" s="17"/>
    </row>
    <row r="180" ht="15.75" customHeight="1">
      <c r="F180" s="16"/>
      <c r="G180" s="17"/>
    </row>
    <row r="181" ht="15.75" customHeight="1">
      <c r="F181" s="16"/>
      <c r="G181" s="17"/>
    </row>
    <row r="182" ht="15.75" customHeight="1">
      <c r="F182" s="16"/>
      <c r="G182" s="17"/>
    </row>
    <row r="183" ht="15.75" customHeight="1">
      <c r="F183" s="16"/>
      <c r="G183" s="17"/>
    </row>
    <row r="184" ht="15.75" customHeight="1">
      <c r="F184" s="16"/>
      <c r="G184" s="17"/>
    </row>
    <row r="185" ht="15.75" customHeight="1">
      <c r="F185" s="16"/>
      <c r="G185" s="17"/>
    </row>
    <row r="186" ht="15.75" customHeight="1">
      <c r="F186" s="16"/>
      <c r="G186" s="17"/>
    </row>
    <row r="187" ht="15.75" customHeight="1">
      <c r="F187" s="16"/>
      <c r="G187" s="17"/>
    </row>
    <row r="188" ht="15.75" customHeight="1">
      <c r="F188" s="16"/>
      <c r="G188" s="17"/>
    </row>
    <row r="189" ht="15.75" customHeight="1">
      <c r="F189" s="16"/>
      <c r="G189" s="17"/>
    </row>
    <row r="190" ht="15.75" customHeight="1">
      <c r="F190" s="16"/>
      <c r="G190" s="17"/>
    </row>
    <row r="191" ht="15.75" customHeight="1">
      <c r="F191" s="16"/>
      <c r="G191" s="17"/>
    </row>
    <row r="192" ht="15.75" customHeight="1">
      <c r="F192" s="16"/>
      <c r="G192" s="17"/>
    </row>
    <row r="193" ht="15.75" customHeight="1">
      <c r="F193" s="16"/>
      <c r="G193" s="17"/>
    </row>
    <row r="194" ht="15.75" customHeight="1">
      <c r="F194" s="16"/>
      <c r="G194" s="17"/>
    </row>
    <row r="195" ht="15.75" customHeight="1">
      <c r="F195" s="16"/>
      <c r="G195" s="17"/>
    </row>
    <row r="196" ht="15.75" customHeight="1">
      <c r="F196" s="16"/>
      <c r="G196" s="17"/>
    </row>
    <row r="197" ht="15.75" customHeight="1">
      <c r="F197" s="16"/>
      <c r="G197" s="17"/>
    </row>
    <row r="198" ht="15.75" customHeight="1">
      <c r="F198" s="16"/>
      <c r="G198" s="17"/>
    </row>
    <row r="199" ht="15.75" customHeight="1">
      <c r="F199" s="16"/>
      <c r="G199" s="17"/>
    </row>
    <row r="200" ht="15.75" customHeight="1">
      <c r="F200" s="16"/>
      <c r="G200" s="17"/>
    </row>
    <row r="201" ht="15.75" customHeight="1">
      <c r="F201" s="16"/>
      <c r="G201" s="17"/>
    </row>
    <row r="202" ht="15.75" customHeight="1">
      <c r="F202" s="16"/>
      <c r="G202" s="17"/>
    </row>
    <row r="203" ht="15.75" customHeight="1">
      <c r="F203" s="16"/>
      <c r="G203" s="17"/>
    </row>
    <row r="204" ht="15.75" customHeight="1">
      <c r="F204" s="16"/>
      <c r="G204" s="17"/>
    </row>
    <row r="205" ht="15.75" customHeight="1">
      <c r="F205" s="16"/>
      <c r="G205" s="17"/>
    </row>
    <row r="206" ht="15.75" customHeight="1">
      <c r="F206" s="16"/>
      <c r="G206" s="17"/>
    </row>
    <row r="207" ht="15.75" customHeight="1">
      <c r="F207" s="16"/>
      <c r="G207" s="17"/>
    </row>
    <row r="208" ht="15.75" customHeight="1">
      <c r="F208" s="16"/>
      <c r="G208" s="17"/>
    </row>
    <row r="209" ht="15.75" customHeight="1">
      <c r="F209" s="16"/>
      <c r="G209" s="17"/>
    </row>
    <row r="210" ht="15.75" customHeight="1">
      <c r="F210" s="16"/>
      <c r="G210" s="17"/>
    </row>
    <row r="211" ht="15.75" customHeight="1">
      <c r="F211" s="16"/>
      <c r="G211" s="17"/>
    </row>
    <row r="212" ht="15.75" customHeight="1">
      <c r="F212" s="16"/>
      <c r="G212" s="17"/>
    </row>
    <row r="213" ht="15.75" customHeight="1">
      <c r="F213" s="16"/>
      <c r="G213" s="17"/>
    </row>
    <row r="214" ht="15.75" customHeight="1">
      <c r="F214" s="16"/>
      <c r="G214" s="17"/>
    </row>
    <row r="215" ht="15.75" customHeight="1">
      <c r="F215" s="16"/>
      <c r="G215" s="17"/>
    </row>
    <row r="216" ht="15.75" customHeight="1">
      <c r="F216" s="16"/>
      <c r="G216" s="17"/>
    </row>
    <row r="217" ht="15.75" customHeight="1">
      <c r="F217" s="16"/>
      <c r="G217" s="17"/>
    </row>
    <row r="218" ht="15.75" customHeight="1">
      <c r="F218" s="16"/>
      <c r="G218" s="17"/>
    </row>
    <row r="219" ht="15.75" customHeight="1">
      <c r="F219" s="16"/>
      <c r="G219" s="17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63"/>
    <col customWidth="1" min="2" max="4" width="12.63"/>
  </cols>
  <sheetData>
    <row r="1" ht="15.75" customHeight="1">
      <c r="A1" s="1" t="s">
        <v>25</v>
      </c>
      <c r="B1" s="1" t="s">
        <v>27</v>
      </c>
      <c r="C1" s="1" t="s">
        <v>30</v>
      </c>
      <c r="D1" s="1" t="s">
        <v>31</v>
      </c>
      <c r="E1" s="1" t="s">
        <v>98</v>
      </c>
      <c r="F1" s="1" t="s">
        <v>0</v>
      </c>
      <c r="G1" s="18" t="s">
        <v>33</v>
      </c>
      <c r="H1" s="18" t="s">
        <v>34</v>
      </c>
      <c r="I1" s="18" t="s">
        <v>35</v>
      </c>
      <c r="J1" s="4" t="s">
        <v>36</v>
      </c>
      <c r="K1" s="4" t="s">
        <v>37</v>
      </c>
      <c r="L1" s="4" t="s">
        <v>38</v>
      </c>
    </row>
    <row r="2" ht="30.0" customHeight="1">
      <c r="B2" s="1" t="s">
        <v>99</v>
      </c>
      <c r="C2" s="21">
        <v>28.63</v>
      </c>
      <c r="D2" s="26">
        <f>C2*Suppliers!$I$1</f>
        <v>21.55423865</v>
      </c>
      <c r="E2" s="4">
        <v>10.0</v>
      </c>
      <c r="F2" s="26">
        <f t="shared" ref="F2:F4" si="1">E2*D2</f>
        <v>215.5423865</v>
      </c>
      <c r="G2" s="18">
        <f>Suppliers!$B$21</f>
        <v>1.865586224</v>
      </c>
      <c r="H2" s="18">
        <v>2.4</v>
      </c>
      <c r="I2" s="18">
        <v>3.78</v>
      </c>
      <c r="J2" s="19">
        <f t="shared" ref="J2:J4" si="2">SUM(D2+G2+H2+I2)</f>
        <v>29.59982487</v>
      </c>
      <c r="K2" s="4">
        <v>139.99</v>
      </c>
      <c r="L2" s="20">
        <f t="shared" ref="L2:L4" si="3">(K2-J2)/K2</f>
        <v>0.7885575764</v>
      </c>
    </row>
    <row r="3" ht="30.0" customHeight="1">
      <c r="A3" s="21"/>
      <c r="B3" s="1" t="s">
        <v>100</v>
      </c>
      <c r="C3" s="21">
        <v>28.63</v>
      </c>
      <c r="D3" s="26">
        <f>C3*Suppliers!$I$1</f>
        <v>21.55423865</v>
      </c>
      <c r="E3" s="4">
        <v>10.0</v>
      </c>
      <c r="F3" s="26">
        <f t="shared" si="1"/>
        <v>215.5423865</v>
      </c>
      <c r="G3" s="18">
        <f>Suppliers!$B$21</f>
        <v>1.865586224</v>
      </c>
      <c r="H3" s="18">
        <v>2.4</v>
      </c>
      <c r="I3" s="18">
        <v>3.78</v>
      </c>
      <c r="J3" s="19">
        <f t="shared" si="2"/>
        <v>29.59982487</v>
      </c>
      <c r="K3" s="4">
        <v>139.99</v>
      </c>
      <c r="L3" s="20">
        <f t="shared" si="3"/>
        <v>0.7885575764</v>
      </c>
    </row>
    <row r="4" ht="30.0" customHeight="1">
      <c r="B4" s="1" t="s">
        <v>101</v>
      </c>
      <c r="C4" s="4">
        <v>25.09</v>
      </c>
      <c r="D4" s="26">
        <f>C4*Suppliers!$I$1</f>
        <v>18.88913195</v>
      </c>
      <c r="E4" s="4">
        <v>10.0</v>
      </c>
      <c r="F4" s="26">
        <f t="shared" si="1"/>
        <v>188.8913195</v>
      </c>
      <c r="G4" s="18">
        <f>Suppliers!$B$21</f>
        <v>1.865586224</v>
      </c>
      <c r="H4" s="18">
        <v>2.4</v>
      </c>
      <c r="I4" s="18">
        <v>3.78</v>
      </c>
      <c r="J4" s="19">
        <f t="shared" si="2"/>
        <v>26.93471817</v>
      </c>
      <c r="K4" s="4">
        <v>134.99</v>
      </c>
      <c r="L4" s="20">
        <f t="shared" si="3"/>
        <v>0.800468789</v>
      </c>
    </row>
    <row r="5" ht="30.0" customHeight="1">
      <c r="D5" s="1" t="s">
        <v>0</v>
      </c>
      <c r="E5" s="1">
        <f t="shared" ref="E5:F5" si="4">SUM(E2:E4)</f>
        <v>30</v>
      </c>
      <c r="F5" s="17">
        <f t="shared" si="4"/>
        <v>619.9760925</v>
      </c>
    </row>
    <row r="6" ht="30.0" customHeight="1"/>
    <row r="7" ht="30.0" customHeight="1">
      <c r="A7" s="21" t="s">
        <v>102</v>
      </c>
    </row>
    <row r="8" ht="30.0" customHeight="1"/>
    <row r="9" ht="30.0" customHeight="1"/>
    <row r="10" ht="30.0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6" width="12.63"/>
  </cols>
  <sheetData>
    <row r="1" ht="15.75" customHeight="1">
      <c r="A1" s="1" t="s">
        <v>25</v>
      </c>
      <c r="B1" s="1" t="s">
        <v>26</v>
      </c>
      <c r="C1" s="1" t="s">
        <v>27</v>
      </c>
      <c r="D1" s="1" t="s">
        <v>97</v>
      </c>
      <c r="E1" s="1" t="s">
        <v>29</v>
      </c>
      <c r="F1" s="16" t="s">
        <v>30</v>
      </c>
      <c r="G1" s="1" t="s">
        <v>31</v>
      </c>
      <c r="H1" s="1" t="s">
        <v>32</v>
      </c>
      <c r="I1" s="1" t="s">
        <v>75</v>
      </c>
      <c r="J1" s="18" t="s">
        <v>33</v>
      </c>
      <c r="K1" s="18" t="s">
        <v>34</v>
      </c>
      <c r="L1" s="18" t="s">
        <v>35</v>
      </c>
      <c r="M1" s="4" t="s">
        <v>36</v>
      </c>
      <c r="N1" s="4" t="s">
        <v>37</v>
      </c>
      <c r="O1" s="4" t="s">
        <v>38</v>
      </c>
    </row>
    <row r="2" ht="30.0" customHeight="1">
      <c r="A2" s="21"/>
      <c r="B2" s="6">
        <v>9.5</v>
      </c>
      <c r="C2" s="1" t="s">
        <v>103</v>
      </c>
      <c r="D2" s="1" t="s">
        <v>104</v>
      </c>
      <c r="E2" s="1" t="s">
        <v>41</v>
      </c>
      <c r="F2" s="16">
        <v>23.4</v>
      </c>
      <c r="G2" s="17">
        <f>F2*Suppliers!$I$1</f>
        <v>17.616807</v>
      </c>
      <c r="H2" s="1">
        <v>5.0</v>
      </c>
      <c r="I2" s="17">
        <f t="shared" ref="I2:I7" si="1">G2*H2</f>
        <v>88.084035</v>
      </c>
      <c r="J2" s="18">
        <f>Suppliers!$B$21</f>
        <v>1.865586224</v>
      </c>
      <c r="K2" s="18">
        <v>0.52</v>
      </c>
      <c r="L2" s="18">
        <v>3.78</v>
      </c>
      <c r="M2" s="19">
        <f t="shared" ref="M2:M7" si="2">SUM(G2+J2+K2+L2)</f>
        <v>23.78239322</v>
      </c>
      <c r="N2" s="4">
        <v>69.99</v>
      </c>
      <c r="O2" s="20">
        <f t="shared" ref="O2:O7" si="3">(N2-M2)/N2</f>
        <v>0.6602029829</v>
      </c>
    </row>
    <row r="3" ht="30.0" customHeight="1">
      <c r="B3" s="1"/>
      <c r="C3" s="1" t="s">
        <v>105</v>
      </c>
      <c r="D3" s="1" t="s">
        <v>104</v>
      </c>
      <c r="E3" s="1" t="s">
        <v>41</v>
      </c>
      <c r="F3" s="16">
        <v>23.33</v>
      </c>
      <c r="G3" s="17">
        <f>F3*Suppliers!$I$1</f>
        <v>17.56410715</v>
      </c>
      <c r="H3" s="1">
        <v>5.0</v>
      </c>
      <c r="I3" s="17">
        <f t="shared" si="1"/>
        <v>87.82053575</v>
      </c>
      <c r="J3" s="18">
        <f>Suppliers!$B$21</f>
        <v>1.865586224</v>
      </c>
      <c r="K3" s="18">
        <v>0.52</v>
      </c>
      <c r="L3" s="18">
        <v>3.78</v>
      </c>
      <c r="M3" s="19">
        <f t="shared" si="2"/>
        <v>23.72969337</v>
      </c>
      <c r="N3" s="4">
        <v>69.99</v>
      </c>
      <c r="O3" s="20">
        <f t="shared" si="3"/>
        <v>0.6609559455</v>
      </c>
    </row>
    <row r="4" ht="30.0" customHeight="1">
      <c r="B4" s="6">
        <v>8.2</v>
      </c>
      <c r="C4" s="1" t="s">
        <v>106</v>
      </c>
      <c r="E4" s="1" t="s">
        <v>41</v>
      </c>
      <c r="F4" s="16">
        <v>21.23</v>
      </c>
      <c r="G4" s="17">
        <f>F4*Suppliers!$I$1</f>
        <v>15.98311165</v>
      </c>
      <c r="H4" s="1">
        <v>5.0</v>
      </c>
      <c r="I4" s="17">
        <f t="shared" si="1"/>
        <v>79.91555825</v>
      </c>
      <c r="J4" s="18">
        <f>Suppliers!$B$21</f>
        <v>1.865586224</v>
      </c>
      <c r="K4" s="18">
        <v>0.52</v>
      </c>
      <c r="L4" s="18">
        <v>3.78</v>
      </c>
      <c r="M4" s="19">
        <f t="shared" si="2"/>
        <v>22.14869787</v>
      </c>
      <c r="N4" s="4">
        <v>65.99</v>
      </c>
      <c r="O4" s="20">
        <f t="shared" si="3"/>
        <v>0.6643628145</v>
      </c>
    </row>
    <row r="5" ht="30.0" customHeight="1">
      <c r="A5" s="21"/>
      <c r="B5" s="6">
        <v>8.5</v>
      </c>
      <c r="C5" s="1" t="s">
        <v>107</v>
      </c>
      <c r="E5" s="1" t="s">
        <v>50</v>
      </c>
      <c r="F5" s="16">
        <v>12.58</v>
      </c>
      <c r="G5" s="17">
        <f>F5*Suppliers!$I$1</f>
        <v>9.4709159</v>
      </c>
      <c r="H5" s="1">
        <v>5.0</v>
      </c>
      <c r="I5" s="17">
        <f t="shared" si="1"/>
        <v>47.3545795</v>
      </c>
      <c r="J5" s="18">
        <f>Suppliers!$B$21</f>
        <v>1.865586224</v>
      </c>
      <c r="K5" s="18">
        <v>0.52</v>
      </c>
      <c r="L5" s="18">
        <v>3.78</v>
      </c>
      <c r="M5" s="19">
        <f t="shared" si="2"/>
        <v>15.63650212</v>
      </c>
      <c r="N5" s="4">
        <v>59.99</v>
      </c>
      <c r="O5" s="20">
        <f t="shared" si="3"/>
        <v>0.7393481893</v>
      </c>
    </row>
    <row r="6" ht="30.0" customHeight="1">
      <c r="B6" s="1">
        <v>7.0</v>
      </c>
      <c r="C6" s="1" t="s">
        <v>108</v>
      </c>
      <c r="E6" s="1" t="s">
        <v>50</v>
      </c>
      <c r="F6" s="16">
        <v>15.17</v>
      </c>
      <c r="G6" s="17">
        <f>F6*Suppliers!$I$1</f>
        <v>11.42081035</v>
      </c>
      <c r="H6" s="1">
        <v>5.0</v>
      </c>
      <c r="I6" s="17">
        <f t="shared" si="1"/>
        <v>57.10405175</v>
      </c>
      <c r="J6" s="18">
        <f>Suppliers!$B$21</f>
        <v>1.865586224</v>
      </c>
      <c r="K6" s="18">
        <v>0.52</v>
      </c>
      <c r="L6" s="18">
        <v>3.78</v>
      </c>
      <c r="M6" s="19">
        <f t="shared" si="2"/>
        <v>17.58639657</v>
      </c>
      <c r="N6" s="4">
        <v>55.99</v>
      </c>
      <c r="O6" s="20">
        <f t="shared" si="3"/>
        <v>0.685901115</v>
      </c>
    </row>
    <row r="7" ht="30.0" customHeight="1">
      <c r="A7" s="21"/>
      <c r="B7" s="6">
        <v>8.5</v>
      </c>
      <c r="C7" s="22" t="s">
        <v>109</v>
      </c>
      <c r="E7" s="1" t="s">
        <v>55</v>
      </c>
      <c r="F7" s="16">
        <v>7.24</v>
      </c>
      <c r="G7" s="17">
        <f>F7*Suppliers!$I$1</f>
        <v>5.4506702</v>
      </c>
      <c r="H7" s="1">
        <v>5.0</v>
      </c>
      <c r="I7" s="17">
        <f t="shared" si="1"/>
        <v>27.253351</v>
      </c>
      <c r="J7" s="18">
        <f>Suppliers!$B$21</f>
        <v>1.865586224</v>
      </c>
      <c r="K7" s="18">
        <v>0.52</v>
      </c>
      <c r="L7" s="18">
        <v>3.78</v>
      </c>
      <c r="M7" s="19">
        <f t="shared" si="2"/>
        <v>11.61625642</v>
      </c>
      <c r="N7" s="4">
        <v>45.99</v>
      </c>
      <c r="O7" s="20">
        <f t="shared" si="3"/>
        <v>0.7474177773</v>
      </c>
    </row>
    <row r="8" ht="30.0" customHeight="1">
      <c r="F8" s="16"/>
      <c r="G8" s="1" t="s">
        <v>0</v>
      </c>
      <c r="H8" s="1">
        <f t="shared" ref="H8:I8" si="4">SUM(H2:H7)</f>
        <v>30</v>
      </c>
      <c r="I8" s="17">
        <f t="shared" si="4"/>
        <v>387.5321113</v>
      </c>
    </row>
    <row r="9" ht="30.0" customHeight="1">
      <c r="F9" s="16"/>
    </row>
    <row r="10" ht="30.0" customHeight="1">
      <c r="F10" s="16"/>
    </row>
    <row r="11" ht="30.0" customHeight="1">
      <c r="F11" s="16"/>
    </row>
    <row r="12" ht="30.0" customHeight="1">
      <c r="F12" s="16"/>
    </row>
    <row r="13" ht="30.0" customHeight="1">
      <c r="F13" s="16"/>
    </row>
    <row r="14" ht="30.0" customHeight="1">
      <c r="F14" s="16"/>
    </row>
    <row r="15" ht="30.0" customHeight="1">
      <c r="F15" s="16"/>
    </row>
    <row r="16" ht="30.0" customHeight="1">
      <c r="F16" s="16"/>
    </row>
    <row r="17" ht="30.0" customHeight="1">
      <c r="F17" s="16"/>
    </row>
    <row r="18" ht="30.0" customHeight="1">
      <c r="F18" s="16"/>
    </row>
    <row r="19" ht="30.0" customHeight="1">
      <c r="F19" s="16"/>
    </row>
    <row r="20" ht="30.0" customHeight="1">
      <c r="F20" s="16"/>
    </row>
    <row r="21" ht="30.0" customHeight="1">
      <c r="F21" s="16"/>
    </row>
    <row r="22" ht="15.75" customHeight="1">
      <c r="F22" s="16"/>
    </row>
    <row r="23" ht="15.75" customHeight="1">
      <c r="F23" s="16"/>
    </row>
    <row r="24" ht="15.75" customHeight="1">
      <c r="F24" s="16"/>
    </row>
    <row r="25" ht="15.75" customHeight="1">
      <c r="F25" s="16"/>
    </row>
    <row r="26" ht="15.75" customHeight="1">
      <c r="F26" s="16"/>
    </row>
    <row r="27" ht="15.75" customHeight="1">
      <c r="F27" s="16"/>
    </row>
    <row r="28" ht="15.75" customHeight="1">
      <c r="F28" s="16"/>
    </row>
    <row r="29" ht="15.75" customHeight="1">
      <c r="F29" s="16"/>
    </row>
    <row r="30" ht="15.75" customHeight="1">
      <c r="F30" s="16"/>
    </row>
    <row r="31" ht="15.75" customHeight="1">
      <c r="F31" s="16"/>
    </row>
    <row r="32" ht="15.75" customHeight="1">
      <c r="F32" s="16"/>
    </row>
    <row r="33" ht="15.75" customHeight="1">
      <c r="F33" s="16"/>
    </row>
    <row r="34" ht="15.75" customHeight="1">
      <c r="F34" s="16"/>
    </row>
    <row r="35" ht="15.75" customHeight="1">
      <c r="F35" s="16"/>
    </row>
    <row r="36" ht="15.75" customHeight="1">
      <c r="F36" s="16"/>
    </row>
    <row r="37" ht="15.75" customHeight="1">
      <c r="F37" s="16"/>
    </row>
    <row r="38" ht="15.75" customHeight="1">
      <c r="F38" s="16"/>
    </row>
    <row r="39" ht="15.75" customHeight="1">
      <c r="F39" s="16"/>
    </row>
    <row r="40" ht="15.75" customHeight="1">
      <c r="F40" s="16"/>
    </row>
    <row r="41" ht="15.75" customHeight="1">
      <c r="F41" s="16"/>
    </row>
    <row r="42" ht="15.75" customHeight="1">
      <c r="F42" s="16"/>
    </row>
    <row r="43" ht="15.75" customHeight="1">
      <c r="F43" s="16"/>
    </row>
    <row r="44" ht="15.75" customHeight="1">
      <c r="F44" s="16"/>
    </row>
    <row r="45" ht="15.75" customHeight="1">
      <c r="F45" s="16"/>
    </row>
    <row r="46" ht="15.75" customHeight="1">
      <c r="F46" s="16"/>
    </row>
    <row r="47" ht="15.75" customHeight="1">
      <c r="F47" s="16"/>
    </row>
    <row r="48" ht="15.75" customHeight="1">
      <c r="F48" s="16"/>
    </row>
    <row r="49" ht="15.75" customHeight="1">
      <c r="F49" s="16"/>
    </row>
    <row r="50" ht="15.75" customHeight="1">
      <c r="F50" s="16"/>
    </row>
    <row r="51" ht="15.75" customHeight="1">
      <c r="F51" s="16"/>
    </row>
    <row r="52" ht="15.75" customHeight="1">
      <c r="F52" s="16"/>
    </row>
    <row r="53" ht="15.75" customHeight="1">
      <c r="F53" s="16"/>
    </row>
    <row r="54" ht="15.75" customHeight="1">
      <c r="F54" s="16"/>
    </row>
    <row r="55" ht="15.75" customHeight="1">
      <c r="F55" s="16"/>
    </row>
    <row r="56" ht="15.75" customHeight="1">
      <c r="F56" s="16"/>
    </row>
    <row r="57" ht="15.75" customHeight="1">
      <c r="F57" s="16"/>
    </row>
    <row r="58" ht="15.75" customHeight="1">
      <c r="F58" s="16"/>
    </row>
    <row r="59" ht="15.75" customHeight="1">
      <c r="F59" s="16"/>
    </row>
    <row r="60" ht="15.75" customHeight="1">
      <c r="F60" s="16"/>
    </row>
    <row r="61" ht="15.75" customHeight="1">
      <c r="F61" s="16"/>
    </row>
    <row r="62" ht="15.75" customHeight="1">
      <c r="F62" s="16"/>
    </row>
    <row r="63" ht="15.75" customHeight="1">
      <c r="F63" s="16"/>
    </row>
    <row r="64" ht="15.75" customHeight="1">
      <c r="F64" s="16"/>
    </row>
    <row r="65" ht="15.75" customHeight="1">
      <c r="F65" s="16"/>
    </row>
    <row r="66" ht="15.75" customHeight="1">
      <c r="F66" s="16"/>
    </row>
    <row r="67" ht="15.75" customHeight="1">
      <c r="F67" s="16"/>
    </row>
    <row r="68" ht="15.75" customHeight="1">
      <c r="F68" s="16"/>
    </row>
    <row r="69" ht="15.75" customHeight="1">
      <c r="F69" s="16"/>
    </row>
    <row r="70" ht="15.75" customHeight="1">
      <c r="F70" s="16"/>
    </row>
    <row r="71" ht="15.75" customHeight="1">
      <c r="F71" s="16"/>
    </row>
    <row r="72" ht="15.75" customHeight="1">
      <c r="F72" s="16"/>
    </row>
    <row r="73" ht="15.75" customHeight="1">
      <c r="F73" s="16"/>
    </row>
    <row r="74" ht="15.75" customHeight="1">
      <c r="F74" s="16"/>
    </row>
    <row r="75" ht="15.75" customHeight="1">
      <c r="F75" s="16"/>
    </row>
    <row r="76" ht="15.75" customHeight="1">
      <c r="F76" s="16"/>
    </row>
    <row r="77" ht="15.75" customHeight="1">
      <c r="F77" s="16"/>
    </row>
    <row r="78" ht="15.75" customHeight="1">
      <c r="F78" s="16"/>
    </row>
    <row r="79" ht="15.75" customHeight="1">
      <c r="F79" s="16"/>
    </row>
    <row r="80" ht="15.75" customHeight="1">
      <c r="F80" s="16"/>
    </row>
    <row r="81" ht="15.75" customHeight="1">
      <c r="F81" s="16"/>
    </row>
    <row r="82" ht="15.75" customHeight="1">
      <c r="F82" s="16"/>
    </row>
    <row r="83" ht="15.75" customHeight="1">
      <c r="F83" s="16"/>
    </row>
    <row r="84" ht="15.75" customHeight="1">
      <c r="F84" s="16"/>
    </row>
    <row r="85" ht="15.75" customHeight="1">
      <c r="F85" s="16"/>
    </row>
    <row r="86" ht="15.75" customHeight="1">
      <c r="F86" s="16"/>
    </row>
    <row r="87" ht="15.75" customHeight="1">
      <c r="F87" s="16"/>
    </row>
    <row r="88" ht="15.75" customHeight="1">
      <c r="F88" s="16"/>
    </row>
    <row r="89" ht="15.75" customHeight="1">
      <c r="F89" s="16"/>
    </row>
    <row r="90" ht="15.75" customHeight="1">
      <c r="F90" s="16"/>
    </row>
    <row r="91" ht="15.75" customHeight="1">
      <c r="F91" s="16"/>
    </row>
    <row r="92" ht="15.75" customHeight="1">
      <c r="F92" s="16"/>
    </row>
    <row r="93" ht="15.75" customHeight="1">
      <c r="F93" s="16"/>
    </row>
    <row r="94" ht="15.75" customHeight="1">
      <c r="F94" s="16"/>
    </row>
    <row r="95" ht="15.75" customHeight="1">
      <c r="F95" s="16"/>
    </row>
    <row r="96" ht="15.75" customHeight="1">
      <c r="F96" s="16"/>
    </row>
    <row r="97" ht="15.75" customHeight="1">
      <c r="F97" s="16"/>
    </row>
    <row r="98" ht="15.75" customHeight="1">
      <c r="F98" s="16"/>
    </row>
    <row r="99" ht="15.75" customHeight="1">
      <c r="F99" s="16"/>
    </row>
    <row r="100" ht="15.75" customHeight="1">
      <c r="F100" s="16"/>
    </row>
    <row r="101" ht="15.75" customHeight="1">
      <c r="F101" s="16"/>
    </row>
    <row r="102" ht="15.75" customHeight="1">
      <c r="F102" s="16"/>
    </row>
    <row r="103" ht="15.75" customHeight="1">
      <c r="F103" s="16"/>
    </row>
    <row r="104" ht="15.75" customHeight="1">
      <c r="F104" s="16"/>
    </row>
    <row r="105" ht="15.75" customHeight="1">
      <c r="F105" s="16"/>
    </row>
    <row r="106" ht="15.75" customHeight="1">
      <c r="F106" s="16"/>
    </row>
    <row r="107" ht="15.75" customHeight="1">
      <c r="F107" s="16"/>
    </row>
    <row r="108" ht="15.75" customHeight="1">
      <c r="F108" s="16"/>
    </row>
    <row r="109" ht="15.75" customHeight="1">
      <c r="F109" s="16"/>
    </row>
    <row r="110" ht="15.75" customHeight="1">
      <c r="F110" s="16"/>
    </row>
    <row r="111" ht="15.75" customHeight="1">
      <c r="F111" s="16"/>
    </row>
    <row r="112" ht="15.75" customHeight="1">
      <c r="F112" s="16"/>
    </row>
    <row r="113" ht="15.75" customHeight="1">
      <c r="F113" s="16"/>
    </row>
    <row r="114" ht="15.75" customHeight="1">
      <c r="F114" s="16"/>
    </row>
    <row r="115" ht="15.75" customHeight="1">
      <c r="F115" s="16"/>
    </row>
    <row r="116" ht="15.75" customHeight="1">
      <c r="F116" s="16"/>
    </row>
    <row r="117" ht="15.75" customHeight="1">
      <c r="F117" s="16"/>
    </row>
    <row r="118" ht="15.75" customHeight="1">
      <c r="F118" s="16"/>
    </row>
    <row r="119" ht="15.75" customHeight="1">
      <c r="F119" s="16"/>
    </row>
    <row r="120" ht="15.75" customHeight="1">
      <c r="F120" s="16"/>
    </row>
    <row r="121" ht="15.75" customHeight="1">
      <c r="F121" s="16"/>
    </row>
    <row r="122" ht="15.75" customHeight="1">
      <c r="F122" s="16"/>
    </row>
    <row r="123" ht="15.75" customHeight="1">
      <c r="F123" s="16"/>
    </row>
    <row r="124" ht="15.75" customHeight="1">
      <c r="F124" s="16"/>
    </row>
    <row r="125" ht="15.75" customHeight="1">
      <c r="F125" s="16"/>
    </row>
    <row r="126" ht="15.75" customHeight="1">
      <c r="F126" s="16"/>
    </row>
    <row r="127" ht="15.75" customHeight="1">
      <c r="F127" s="16"/>
    </row>
    <row r="128" ht="15.75" customHeight="1">
      <c r="F128" s="16"/>
    </row>
    <row r="129" ht="15.75" customHeight="1">
      <c r="F129" s="16"/>
    </row>
    <row r="130" ht="15.75" customHeight="1">
      <c r="F130" s="16"/>
    </row>
    <row r="131" ht="15.75" customHeight="1">
      <c r="F131" s="16"/>
    </row>
    <row r="132" ht="15.75" customHeight="1">
      <c r="F132" s="16"/>
    </row>
    <row r="133" ht="15.75" customHeight="1">
      <c r="F133" s="16"/>
    </row>
    <row r="134" ht="15.75" customHeight="1">
      <c r="F134" s="16"/>
    </row>
    <row r="135" ht="15.75" customHeight="1">
      <c r="F135" s="16"/>
    </row>
    <row r="136" ht="15.75" customHeight="1">
      <c r="F136" s="16"/>
    </row>
    <row r="137" ht="15.75" customHeight="1">
      <c r="F137" s="16"/>
    </row>
    <row r="138" ht="15.75" customHeight="1">
      <c r="F138" s="16"/>
    </row>
    <row r="139" ht="15.75" customHeight="1">
      <c r="F139" s="16"/>
    </row>
    <row r="140" ht="15.75" customHeight="1">
      <c r="F140" s="16"/>
    </row>
    <row r="141" ht="15.75" customHeight="1">
      <c r="F141" s="16"/>
    </row>
    <row r="142" ht="15.75" customHeight="1">
      <c r="F142" s="16"/>
    </row>
    <row r="143" ht="15.75" customHeight="1">
      <c r="F143" s="16"/>
    </row>
    <row r="144" ht="15.75" customHeight="1">
      <c r="F144" s="16"/>
    </row>
    <row r="145" ht="15.75" customHeight="1">
      <c r="F145" s="16"/>
    </row>
    <row r="146" ht="15.75" customHeight="1">
      <c r="F146" s="16"/>
    </row>
    <row r="147" ht="15.75" customHeight="1">
      <c r="F147" s="16"/>
    </row>
    <row r="148" ht="15.75" customHeight="1">
      <c r="F148" s="16"/>
    </row>
    <row r="149" ht="15.75" customHeight="1">
      <c r="F149" s="16"/>
    </row>
    <row r="150" ht="15.75" customHeight="1">
      <c r="F150" s="16"/>
    </row>
    <row r="151" ht="15.75" customHeight="1">
      <c r="F151" s="16"/>
    </row>
    <row r="152" ht="15.75" customHeight="1">
      <c r="F152" s="16"/>
    </row>
    <row r="153" ht="15.75" customHeight="1">
      <c r="F153" s="16"/>
    </row>
    <row r="154" ht="15.75" customHeight="1">
      <c r="F154" s="16"/>
    </row>
    <row r="155" ht="15.75" customHeight="1">
      <c r="F155" s="16"/>
    </row>
    <row r="156" ht="15.75" customHeight="1">
      <c r="F156" s="16"/>
    </row>
    <row r="157" ht="15.75" customHeight="1">
      <c r="F157" s="16"/>
    </row>
    <row r="158" ht="15.75" customHeight="1">
      <c r="F158" s="16"/>
    </row>
    <row r="159" ht="15.75" customHeight="1">
      <c r="F159" s="16"/>
    </row>
    <row r="160" ht="15.75" customHeight="1">
      <c r="F160" s="16"/>
    </row>
    <row r="161" ht="15.75" customHeight="1">
      <c r="F161" s="16"/>
    </row>
    <row r="162" ht="15.75" customHeight="1">
      <c r="F162" s="16"/>
    </row>
    <row r="163" ht="15.75" customHeight="1">
      <c r="F163" s="16"/>
    </row>
    <row r="164" ht="15.75" customHeight="1">
      <c r="F164" s="16"/>
    </row>
    <row r="165" ht="15.75" customHeight="1">
      <c r="F165" s="16"/>
    </row>
    <row r="166" ht="15.75" customHeight="1">
      <c r="F166" s="16"/>
    </row>
    <row r="167" ht="15.75" customHeight="1">
      <c r="F167" s="16"/>
    </row>
    <row r="168" ht="15.75" customHeight="1">
      <c r="F168" s="16"/>
    </row>
    <row r="169" ht="15.75" customHeight="1">
      <c r="F169" s="16"/>
    </row>
    <row r="170" ht="15.75" customHeight="1">
      <c r="F170" s="16"/>
    </row>
    <row r="171" ht="15.75" customHeight="1">
      <c r="F171" s="16"/>
    </row>
    <row r="172" ht="15.75" customHeight="1">
      <c r="F172" s="16"/>
    </row>
    <row r="173" ht="15.75" customHeight="1">
      <c r="F173" s="16"/>
    </row>
    <row r="174" ht="15.75" customHeight="1">
      <c r="F174" s="16"/>
    </row>
    <row r="175" ht="15.75" customHeight="1">
      <c r="F175" s="16"/>
    </row>
    <row r="176" ht="15.75" customHeight="1">
      <c r="F176" s="16"/>
    </row>
    <row r="177" ht="15.75" customHeight="1">
      <c r="F177" s="16"/>
    </row>
    <row r="178" ht="15.75" customHeight="1">
      <c r="F178" s="16"/>
    </row>
    <row r="179" ht="15.75" customHeight="1">
      <c r="F179" s="16"/>
    </row>
    <row r="180" ht="15.75" customHeight="1">
      <c r="F180" s="16"/>
    </row>
    <row r="181" ht="15.75" customHeight="1">
      <c r="F181" s="16"/>
    </row>
    <row r="182" ht="15.75" customHeight="1">
      <c r="F182" s="16"/>
    </row>
    <row r="183" ht="15.75" customHeight="1">
      <c r="F183" s="16"/>
    </row>
    <row r="184" ht="15.75" customHeight="1">
      <c r="F184" s="16"/>
    </row>
    <row r="185" ht="15.75" customHeight="1">
      <c r="F185" s="16"/>
    </row>
    <row r="186" ht="15.75" customHeight="1">
      <c r="F186" s="16"/>
    </row>
    <row r="187" ht="15.75" customHeight="1">
      <c r="F187" s="16"/>
    </row>
    <row r="188" ht="15.75" customHeight="1">
      <c r="F188" s="16"/>
    </row>
    <row r="189" ht="15.75" customHeight="1">
      <c r="F189" s="16"/>
    </row>
    <row r="190" ht="15.75" customHeight="1">
      <c r="F190" s="16"/>
    </row>
    <row r="191" ht="15.75" customHeight="1">
      <c r="F191" s="16"/>
    </row>
    <row r="192" ht="15.75" customHeight="1">
      <c r="F192" s="16"/>
    </row>
    <row r="193" ht="15.75" customHeight="1">
      <c r="F193" s="16"/>
    </row>
    <row r="194" ht="15.75" customHeight="1">
      <c r="F194" s="16"/>
    </row>
    <row r="195" ht="15.75" customHeight="1">
      <c r="F195" s="16"/>
    </row>
    <row r="196" ht="15.75" customHeight="1">
      <c r="F196" s="16"/>
    </row>
    <row r="197" ht="15.75" customHeight="1">
      <c r="F197" s="16"/>
    </row>
    <row r="198" ht="15.75" customHeight="1">
      <c r="F198" s="16"/>
    </row>
    <row r="199" ht="15.75" customHeight="1">
      <c r="F199" s="16"/>
    </row>
    <row r="200" ht="15.75" customHeight="1">
      <c r="F200" s="16"/>
    </row>
    <row r="201" ht="15.75" customHeight="1">
      <c r="F201" s="16"/>
    </row>
    <row r="202" ht="15.75" customHeight="1">
      <c r="F202" s="16"/>
    </row>
    <row r="203" ht="15.75" customHeight="1">
      <c r="F203" s="16"/>
    </row>
    <row r="204" ht="15.75" customHeight="1">
      <c r="F204" s="16"/>
    </row>
    <row r="205" ht="15.75" customHeight="1">
      <c r="F205" s="16"/>
    </row>
    <row r="206" ht="15.75" customHeight="1">
      <c r="F206" s="16"/>
    </row>
    <row r="207" ht="15.75" customHeight="1">
      <c r="F207" s="16"/>
    </row>
    <row r="208" ht="15.75" customHeight="1">
      <c r="F208" s="16"/>
    </row>
    <row r="209" ht="15.75" customHeight="1">
      <c r="F209" s="16"/>
    </row>
    <row r="210" ht="15.75" customHeight="1">
      <c r="F210" s="16"/>
    </row>
    <row r="211" ht="15.75" customHeight="1">
      <c r="F211" s="16"/>
    </row>
    <row r="212" ht="15.75" customHeight="1">
      <c r="F212" s="16"/>
    </row>
    <row r="213" ht="15.75" customHeight="1">
      <c r="F213" s="16"/>
    </row>
    <row r="214" ht="15.75" customHeight="1">
      <c r="F214" s="16"/>
    </row>
    <row r="215" ht="15.75" customHeight="1">
      <c r="F215" s="16"/>
    </row>
    <row r="216" ht="15.75" customHeight="1">
      <c r="F216" s="16"/>
    </row>
    <row r="217" ht="15.75" customHeight="1">
      <c r="F217" s="16"/>
    </row>
    <row r="218" ht="15.75" customHeight="1">
      <c r="F218" s="16"/>
    </row>
    <row r="219" ht="15.75" customHeight="1">
      <c r="F219" s="16"/>
    </row>
    <row r="220" ht="15.75" customHeight="1">
      <c r="F220" s="1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2.63"/>
    <col customWidth="1" min="2" max="6" width="12.63"/>
  </cols>
  <sheetData>
    <row r="1" ht="15.75" customHeight="1">
      <c r="A1" s="1" t="s">
        <v>25</v>
      </c>
      <c r="B1" s="1" t="s">
        <v>27</v>
      </c>
      <c r="C1" s="1" t="s">
        <v>97</v>
      </c>
      <c r="D1" s="1" t="s">
        <v>29</v>
      </c>
      <c r="E1" s="16" t="s">
        <v>30</v>
      </c>
      <c r="F1" s="1" t="s">
        <v>31</v>
      </c>
      <c r="G1" s="1" t="s">
        <v>32</v>
      </c>
      <c r="H1" s="1" t="s">
        <v>75</v>
      </c>
      <c r="I1" s="18" t="s">
        <v>33</v>
      </c>
      <c r="J1" s="18" t="s">
        <v>34</v>
      </c>
      <c r="K1" s="18" t="s">
        <v>35</v>
      </c>
      <c r="L1" s="4" t="s">
        <v>36</v>
      </c>
      <c r="M1" s="4" t="s">
        <v>37</v>
      </c>
      <c r="N1" s="4" t="s">
        <v>38</v>
      </c>
    </row>
    <row r="2" ht="30.0" customHeight="1">
      <c r="B2" s="1" t="s">
        <v>110</v>
      </c>
      <c r="C2" s="1" t="s">
        <v>104</v>
      </c>
      <c r="D2" s="1" t="s">
        <v>50</v>
      </c>
      <c r="E2" s="16">
        <v>14.3</v>
      </c>
      <c r="F2" s="17">
        <f>E2*Suppliers!$I$1</f>
        <v>10.7658265</v>
      </c>
      <c r="G2" s="1">
        <v>5.0</v>
      </c>
      <c r="H2" s="17">
        <f t="shared" ref="H2:H3" si="1">G2*F2</f>
        <v>53.8291325</v>
      </c>
      <c r="I2" s="18">
        <f>Suppliers!$B$21</f>
        <v>1.865586224</v>
      </c>
      <c r="J2" s="18">
        <v>0.52</v>
      </c>
      <c r="K2" s="18">
        <v>3.78</v>
      </c>
      <c r="L2" s="19">
        <f t="shared" ref="L2:L3" si="2">SUM(F2+I2+J2+K2)</f>
        <v>16.93141272</v>
      </c>
      <c r="M2" s="4">
        <v>49.99</v>
      </c>
      <c r="N2" s="20">
        <f t="shared" ref="N2:N3" si="3">(M2-L2)/M2</f>
        <v>0.6613040063</v>
      </c>
    </row>
    <row r="3" ht="30.0" customHeight="1">
      <c r="B3" s="4" t="s">
        <v>111</v>
      </c>
      <c r="C3" s="4" t="s">
        <v>104</v>
      </c>
      <c r="D3" s="4" t="s">
        <v>41</v>
      </c>
      <c r="E3" s="23">
        <v>19.5</v>
      </c>
      <c r="F3" s="17">
        <f>E3*Suppliers!$I$1</f>
        <v>14.6806725</v>
      </c>
      <c r="G3" s="1">
        <v>5.0</v>
      </c>
      <c r="H3" s="17">
        <f t="shared" si="1"/>
        <v>73.4033625</v>
      </c>
      <c r="I3" s="18">
        <f>Suppliers!$B$21</f>
        <v>1.865586224</v>
      </c>
      <c r="J3" s="18">
        <v>0.52</v>
      </c>
      <c r="K3" s="18">
        <v>3.78</v>
      </c>
      <c r="L3" s="19">
        <f t="shared" si="2"/>
        <v>20.84625872</v>
      </c>
      <c r="M3" s="4">
        <v>59.99</v>
      </c>
      <c r="N3" s="20">
        <f t="shared" si="3"/>
        <v>0.6525044387</v>
      </c>
    </row>
    <row r="4" ht="30.0" customHeight="1">
      <c r="E4" s="16"/>
      <c r="F4" s="1" t="s">
        <v>0</v>
      </c>
      <c r="G4" s="1">
        <f t="shared" ref="G4:H4" si="4">SUM(G2:G3)</f>
        <v>10</v>
      </c>
      <c r="H4" s="17">
        <f t="shared" si="4"/>
        <v>127.232495</v>
      </c>
    </row>
    <row r="5" ht="30.0" customHeight="1">
      <c r="E5" s="16"/>
    </row>
    <row r="6" ht="30.0" customHeight="1">
      <c r="E6" s="16"/>
    </row>
    <row r="7" ht="30.0" customHeight="1">
      <c r="E7" s="16"/>
    </row>
    <row r="8" ht="30.0" customHeight="1">
      <c r="B8" s="1" t="s">
        <v>110</v>
      </c>
      <c r="C8" s="1" t="s">
        <v>104</v>
      </c>
      <c r="D8" s="1" t="s">
        <v>50</v>
      </c>
      <c r="E8" s="16">
        <v>14.3</v>
      </c>
      <c r="F8" s="17">
        <f>E8*Suppliers!$I$1</f>
        <v>10.7658265</v>
      </c>
      <c r="G8" s="1">
        <v>5.0</v>
      </c>
      <c r="H8" s="17">
        <f>G8*F8</f>
        <v>53.8291325</v>
      </c>
      <c r="I8" s="18">
        <f>Suppliers!$B$21</f>
        <v>1.865586224</v>
      </c>
      <c r="J8" s="18">
        <v>0.1</v>
      </c>
      <c r="K8" s="18">
        <v>5.4</v>
      </c>
      <c r="L8" s="19">
        <f>SUM(F8+I8+J8+K8)</f>
        <v>18.13141272</v>
      </c>
      <c r="M8" s="4">
        <v>50.99</v>
      </c>
      <c r="N8" s="20">
        <f>(M8-L8)/M8</f>
        <v>0.6444123804</v>
      </c>
    </row>
    <row r="9" ht="15.75" customHeight="1">
      <c r="E9" s="16"/>
    </row>
    <row r="10" ht="15.75" customHeight="1">
      <c r="E10" s="16"/>
    </row>
    <row r="11" ht="15.75" customHeight="1">
      <c r="E11" s="16"/>
    </row>
    <row r="12" ht="15.75" customHeight="1">
      <c r="E12" s="16"/>
    </row>
    <row r="13" ht="15.75" customHeight="1">
      <c r="E13" s="16"/>
    </row>
    <row r="14" ht="15.75" customHeight="1">
      <c r="E14" s="16"/>
    </row>
    <row r="15" ht="15.75" customHeight="1">
      <c r="E15" s="16"/>
    </row>
    <row r="16" ht="15.75" customHeight="1">
      <c r="E16" s="16"/>
    </row>
    <row r="17" ht="15.75" customHeight="1">
      <c r="E17" s="16"/>
    </row>
    <row r="18" ht="15.75" customHeight="1">
      <c r="E18" s="16"/>
    </row>
    <row r="19" ht="15.75" customHeight="1">
      <c r="E19" s="16"/>
    </row>
    <row r="20" ht="15.75" customHeight="1">
      <c r="E20" s="16"/>
    </row>
    <row r="21" ht="15.75" customHeight="1">
      <c r="E21" s="16"/>
    </row>
    <row r="22" ht="15.75" customHeight="1">
      <c r="E22" s="16"/>
    </row>
    <row r="23" ht="15.75" customHeight="1">
      <c r="E23" s="16"/>
    </row>
    <row r="24" ht="15.75" customHeight="1">
      <c r="E24" s="16"/>
    </row>
    <row r="25" ht="15.75" customHeight="1">
      <c r="E25" s="16"/>
    </row>
    <row r="26" ht="15.75" customHeight="1">
      <c r="E26" s="16"/>
    </row>
    <row r="27" ht="15.75" customHeight="1">
      <c r="E27" s="16"/>
    </row>
    <row r="28" ht="15.75" customHeight="1">
      <c r="E28" s="16"/>
    </row>
    <row r="29" ht="15.75" customHeight="1">
      <c r="E29" s="16"/>
    </row>
    <row r="30" ht="15.75" customHeight="1">
      <c r="E30" s="16"/>
    </row>
    <row r="31" ht="15.75" customHeight="1">
      <c r="E31" s="16"/>
    </row>
    <row r="32" ht="15.75" customHeight="1">
      <c r="E32" s="16"/>
    </row>
    <row r="33" ht="15.75" customHeight="1">
      <c r="E33" s="16"/>
    </row>
    <row r="34" ht="15.75" customHeight="1">
      <c r="E34" s="16"/>
    </row>
    <row r="35" ht="15.75" customHeight="1">
      <c r="E35" s="16"/>
    </row>
    <row r="36" ht="15.75" customHeight="1">
      <c r="E36" s="16"/>
    </row>
    <row r="37" ht="15.75" customHeight="1">
      <c r="E37" s="16"/>
    </row>
    <row r="38" ht="15.75" customHeight="1">
      <c r="E38" s="16"/>
    </row>
    <row r="39" ht="15.75" customHeight="1">
      <c r="E39" s="16"/>
    </row>
    <row r="40" ht="15.75" customHeight="1">
      <c r="E40" s="16"/>
    </row>
    <row r="41" ht="15.75" customHeight="1">
      <c r="E41" s="16"/>
    </row>
    <row r="42" ht="15.75" customHeight="1">
      <c r="E42" s="16"/>
    </row>
    <row r="43" ht="15.75" customHeight="1">
      <c r="E43" s="16"/>
    </row>
    <row r="44" ht="15.75" customHeight="1">
      <c r="E44" s="16"/>
    </row>
    <row r="45" ht="15.75" customHeight="1">
      <c r="E45" s="16"/>
    </row>
    <row r="46" ht="15.75" customHeight="1">
      <c r="E46" s="16"/>
    </row>
    <row r="47" ht="15.75" customHeight="1">
      <c r="E47" s="16"/>
    </row>
    <row r="48" ht="15.75" customHeight="1">
      <c r="E48" s="16"/>
    </row>
    <row r="49" ht="15.75" customHeight="1">
      <c r="E49" s="16"/>
    </row>
    <row r="50" ht="15.75" customHeight="1">
      <c r="E50" s="16"/>
    </row>
    <row r="51" ht="15.75" customHeight="1">
      <c r="E51" s="16"/>
    </row>
    <row r="52" ht="15.75" customHeight="1">
      <c r="E52" s="16"/>
    </row>
    <row r="53" ht="15.75" customHeight="1">
      <c r="E53" s="16"/>
    </row>
    <row r="54" ht="15.75" customHeight="1">
      <c r="E54" s="16"/>
    </row>
    <row r="55" ht="15.75" customHeight="1">
      <c r="E55" s="16"/>
    </row>
    <row r="56" ht="15.75" customHeight="1">
      <c r="E56" s="16"/>
    </row>
    <row r="57" ht="15.75" customHeight="1">
      <c r="E57" s="16"/>
    </row>
    <row r="58" ht="15.75" customHeight="1">
      <c r="E58" s="16"/>
    </row>
    <row r="59" ht="15.75" customHeight="1">
      <c r="E59" s="16"/>
    </row>
    <row r="60" ht="15.75" customHeight="1">
      <c r="E60" s="16"/>
    </row>
    <row r="61" ht="15.75" customHeight="1">
      <c r="E61" s="16"/>
    </row>
    <row r="62" ht="15.75" customHeight="1">
      <c r="E62" s="16"/>
    </row>
    <row r="63" ht="15.75" customHeight="1">
      <c r="E63" s="16"/>
    </row>
    <row r="64" ht="15.75" customHeight="1">
      <c r="E64" s="16"/>
    </row>
    <row r="65" ht="15.75" customHeight="1">
      <c r="E65" s="16"/>
    </row>
    <row r="66" ht="15.75" customHeight="1">
      <c r="E66" s="16"/>
    </row>
    <row r="67" ht="15.75" customHeight="1">
      <c r="E67" s="16"/>
    </row>
    <row r="68" ht="15.75" customHeight="1">
      <c r="E68" s="16"/>
    </row>
    <row r="69" ht="15.75" customHeight="1">
      <c r="E69" s="16"/>
    </row>
    <row r="70" ht="15.75" customHeight="1">
      <c r="E70" s="16"/>
    </row>
    <row r="71" ht="15.75" customHeight="1">
      <c r="E71" s="16"/>
    </row>
    <row r="72" ht="15.75" customHeight="1">
      <c r="E72" s="16"/>
    </row>
    <row r="73" ht="15.75" customHeight="1">
      <c r="E73" s="16"/>
    </row>
    <row r="74" ht="15.75" customHeight="1">
      <c r="E74" s="16"/>
    </row>
    <row r="75" ht="15.75" customHeight="1">
      <c r="E75" s="16"/>
    </row>
    <row r="76" ht="15.75" customHeight="1">
      <c r="E76" s="16"/>
    </row>
    <row r="77" ht="15.75" customHeight="1">
      <c r="E77" s="16"/>
    </row>
    <row r="78" ht="15.75" customHeight="1">
      <c r="E78" s="16"/>
    </row>
    <row r="79" ht="15.75" customHeight="1">
      <c r="E79" s="16"/>
    </row>
    <row r="80" ht="15.75" customHeight="1">
      <c r="E80" s="16"/>
    </row>
    <row r="81" ht="15.75" customHeight="1">
      <c r="E81" s="16"/>
    </row>
    <row r="82" ht="15.75" customHeight="1">
      <c r="E82" s="16"/>
    </row>
    <row r="83" ht="15.75" customHeight="1">
      <c r="E83" s="16"/>
    </row>
    <row r="84" ht="15.75" customHeight="1">
      <c r="E84" s="16"/>
    </row>
    <row r="85" ht="15.75" customHeight="1">
      <c r="E85" s="16"/>
    </row>
    <row r="86" ht="15.75" customHeight="1">
      <c r="E86" s="16"/>
    </row>
    <row r="87" ht="15.75" customHeight="1">
      <c r="E87" s="16"/>
    </row>
    <row r="88" ht="15.75" customHeight="1">
      <c r="E88" s="16"/>
    </row>
    <row r="89" ht="15.75" customHeight="1">
      <c r="E89" s="16"/>
    </row>
    <row r="90" ht="15.75" customHeight="1">
      <c r="E90" s="16"/>
    </row>
    <row r="91" ht="15.75" customHeight="1">
      <c r="E91" s="16"/>
    </row>
    <row r="92" ht="15.75" customHeight="1">
      <c r="E92" s="16"/>
    </row>
    <row r="93" ht="15.75" customHeight="1">
      <c r="E93" s="16"/>
    </row>
    <row r="94" ht="15.75" customHeight="1">
      <c r="E94" s="16"/>
    </row>
    <row r="95" ht="15.75" customHeight="1">
      <c r="E95" s="16"/>
    </row>
    <row r="96" ht="15.75" customHeight="1">
      <c r="E96" s="16"/>
    </row>
    <row r="97" ht="15.75" customHeight="1">
      <c r="E97" s="16"/>
    </row>
    <row r="98" ht="15.75" customHeight="1">
      <c r="E98" s="16"/>
    </row>
    <row r="99" ht="15.75" customHeight="1">
      <c r="E99" s="16"/>
    </row>
    <row r="100" ht="15.75" customHeight="1">
      <c r="E100" s="16"/>
    </row>
    <row r="101" ht="15.75" customHeight="1">
      <c r="E101" s="16"/>
    </row>
    <row r="102" ht="15.75" customHeight="1">
      <c r="E102" s="16"/>
    </row>
    <row r="103" ht="15.75" customHeight="1">
      <c r="E103" s="16"/>
    </row>
    <row r="104" ht="15.75" customHeight="1">
      <c r="E104" s="16"/>
    </row>
    <row r="105" ht="15.75" customHeight="1">
      <c r="E105" s="16"/>
    </row>
    <row r="106" ht="15.75" customHeight="1">
      <c r="E106" s="16"/>
    </row>
    <row r="107" ht="15.75" customHeight="1">
      <c r="E107" s="16"/>
    </row>
    <row r="108" ht="15.75" customHeight="1">
      <c r="E108" s="16"/>
    </row>
    <row r="109" ht="15.75" customHeight="1">
      <c r="E109" s="16"/>
    </row>
    <row r="110" ht="15.75" customHeight="1">
      <c r="E110" s="16"/>
    </row>
    <row r="111" ht="15.75" customHeight="1">
      <c r="E111" s="16"/>
    </row>
    <row r="112" ht="15.75" customHeight="1">
      <c r="E112" s="16"/>
    </row>
    <row r="113" ht="15.75" customHeight="1">
      <c r="E113" s="16"/>
    </row>
    <row r="114" ht="15.75" customHeight="1">
      <c r="E114" s="16"/>
    </row>
    <row r="115" ht="15.75" customHeight="1">
      <c r="E115" s="16"/>
    </row>
    <row r="116" ht="15.75" customHeight="1">
      <c r="E116" s="16"/>
    </row>
    <row r="117" ht="15.75" customHeight="1">
      <c r="E117" s="16"/>
    </row>
    <row r="118" ht="15.75" customHeight="1">
      <c r="E118" s="16"/>
    </row>
    <row r="119" ht="15.75" customHeight="1">
      <c r="E119" s="16"/>
    </row>
    <row r="120" ht="15.75" customHeight="1">
      <c r="E120" s="16"/>
    </row>
    <row r="121" ht="15.75" customHeight="1">
      <c r="E121" s="16"/>
    </row>
    <row r="122" ht="15.75" customHeight="1">
      <c r="E122" s="16"/>
    </row>
    <row r="123" ht="15.75" customHeight="1">
      <c r="E123" s="16"/>
    </row>
    <row r="124" ht="15.75" customHeight="1">
      <c r="E124" s="16"/>
    </row>
    <row r="125" ht="15.75" customHeight="1">
      <c r="E125" s="16"/>
    </row>
    <row r="126" ht="15.75" customHeight="1">
      <c r="E126" s="16"/>
    </row>
    <row r="127" ht="15.75" customHeight="1">
      <c r="E127" s="16"/>
    </row>
    <row r="128" ht="15.75" customHeight="1">
      <c r="E128" s="16"/>
    </row>
    <row r="129" ht="15.75" customHeight="1">
      <c r="E129" s="16"/>
    </row>
    <row r="130" ht="15.75" customHeight="1">
      <c r="E130" s="16"/>
    </row>
    <row r="131" ht="15.75" customHeight="1">
      <c r="E131" s="16"/>
    </row>
    <row r="132" ht="15.75" customHeight="1">
      <c r="E132" s="16"/>
    </row>
    <row r="133" ht="15.75" customHeight="1">
      <c r="E133" s="16"/>
    </row>
    <row r="134" ht="15.75" customHeight="1">
      <c r="E134" s="16"/>
    </row>
    <row r="135" ht="15.75" customHeight="1">
      <c r="E135" s="16"/>
    </row>
    <row r="136" ht="15.75" customHeight="1">
      <c r="E136" s="16"/>
    </row>
    <row r="137" ht="15.75" customHeight="1">
      <c r="E137" s="16"/>
    </row>
    <row r="138" ht="15.75" customHeight="1">
      <c r="E138" s="16"/>
    </row>
    <row r="139" ht="15.75" customHeight="1">
      <c r="E139" s="16"/>
    </row>
    <row r="140" ht="15.75" customHeight="1">
      <c r="E140" s="16"/>
    </row>
    <row r="141" ht="15.75" customHeight="1">
      <c r="E141" s="16"/>
    </row>
    <row r="142" ht="15.75" customHeight="1">
      <c r="E142" s="16"/>
    </row>
    <row r="143" ht="15.75" customHeight="1">
      <c r="E143" s="16"/>
    </row>
    <row r="144" ht="15.75" customHeight="1">
      <c r="E144" s="16"/>
    </row>
    <row r="145" ht="15.75" customHeight="1">
      <c r="E145" s="16"/>
    </row>
    <row r="146" ht="15.75" customHeight="1">
      <c r="E146" s="16"/>
    </row>
    <row r="147" ht="15.75" customHeight="1">
      <c r="E147" s="16"/>
    </row>
    <row r="148" ht="15.75" customHeight="1">
      <c r="E148" s="16"/>
    </row>
    <row r="149" ht="15.75" customHeight="1">
      <c r="E149" s="16"/>
    </row>
    <row r="150" ht="15.75" customHeight="1">
      <c r="E150" s="16"/>
    </row>
    <row r="151" ht="15.75" customHeight="1">
      <c r="E151" s="16"/>
    </row>
    <row r="152" ht="15.75" customHeight="1">
      <c r="E152" s="16"/>
    </row>
    <row r="153" ht="15.75" customHeight="1">
      <c r="E153" s="16"/>
    </row>
    <row r="154" ht="15.75" customHeight="1">
      <c r="E154" s="16"/>
    </row>
    <row r="155" ht="15.75" customHeight="1">
      <c r="E155" s="16"/>
    </row>
    <row r="156" ht="15.75" customHeight="1">
      <c r="E156" s="16"/>
    </row>
    <row r="157" ht="15.75" customHeight="1">
      <c r="E157" s="16"/>
    </row>
    <row r="158" ht="15.75" customHeight="1">
      <c r="E158" s="16"/>
    </row>
    <row r="159" ht="15.75" customHeight="1">
      <c r="E159" s="16"/>
    </row>
    <row r="160" ht="15.75" customHeight="1">
      <c r="E160" s="16"/>
    </row>
    <row r="161" ht="15.75" customHeight="1">
      <c r="E161" s="16"/>
    </row>
    <row r="162" ht="15.75" customHeight="1">
      <c r="E162" s="16"/>
    </row>
    <row r="163" ht="15.75" customHeight="1">
      <c r="E163" s="16"/>
    </row>
    <row r="164" ht="15.75" customHeight="1">
      <c r="E164" s="16"/>
    </row>
    <row r="165" ht="15.75" customHeight="1">
      <c r="E165" s="16"/>
    </row>
    <row r="166" ht="15.75" customHeight="1">
      <c r="E166" s="16"/>
    </row>
    <row r="167" ht="15.75" customHeight="1">
      <c r="E167" s="16"/>
    </row>
    <row r="168" ht="15.75" customHeight="1">
      <c r="E168" s="16"/>
    </row>
    <row r="169" ht="15.75" customHeight="1">
      <c r="E169" s="16"/>
    </row>
    <row r="170" ht="15.75" customHeight="1">
      <c r="E170" s="16"/>
    </row>
    <row r="171" ht="15.75" customHeight="1">
      <c r="E171" s="16"/>
    </row>
    <row r="172" ht="15.75" customHeight="1">
      <c r="E172" s="16"/>
    </row>
    <row r="173" ht="15.75" customHeight="1">
      <c r="E173" s="16"/>
    </row>
    <row r="174" ht="15.75" customHeight="1">
      <c r="E174" s="16"/>
    </row>
    <row r="175" ht="15.75" customHeight="1">
      <c r="E175" s="16"/>
    </row>
    <row r="176" ht="15.75" customHeight="1">
      <c r="E176" s="16"/>
    </row>
    <row r="177" ht="15.75" customHeight="1">
      <c r="E177" s="16"/>
    </row>
    <row r="178" ht="15.75" customHeight="1">
      <c r="E178" s="16"/>
    </row>
    <row r="179" ht="15.75" customHeight="1">
      <c r="E179" s="16"/>
    </row>
    <row r="180" ht="15.75" customHeight="1">
      <c r="E180" s="16"/>
    </row>
    <row r="181" ht="15.75" customHeight="1">
      <c r="E181" s="16"/>
    </row>
    <row r="182" ht="15.75" customHeight="1">
      <c r="E182" s="16"/>
    </row>
    <row r="183" ht="15.75" customHeight="1">
      <c r="E183" s="16"/>
    </row>
    <row r="184" ht="15.75" customHeight="1">
      <c r="E184" s="16"/>
    </row>
    <row r="185" ht="15.75" customHeight="1">
      <c r="E185" s="16"/>
    </row>
    <row r="186" ht="15.75" customHeight="1">
      <c r="E186" s="16"/>
    </row>
    <row r="187" ht="15.75" customHeight="1">
      <c r="E187" s="16"/>
    </row>
    <row r="188" ht="15.75" customHeight="1">
      <c r="E188" s="16"/>
    </row>
    <row r="189" ht="15.75" customHeight="1">
      <c r="E189" s="16"/>
    </row>
    <row r="190" ht="15.75" customHeight="1">
      <c r="E190" s="16"/>
    </row>
    <row r="191" ht="15.75" customHeight="1">
      <c r="E191" s="16"/>
    </row>
    <row r="192" ht="15.75" customHeight="1">
      <c r="E192" s="16"/>
    </row>
    <row r="193" ht="15.75" customHeight="1">
      <c r="E193" s="16"/>
    </row>
    <row r="194" ht="15.75" customHeight="1">
      <c r="E194" s="16"/>
    </row>
    <row r="195" ht="15.75" customHeight="1">
      <c r="E195" s="16"/>
    </row>
    <row r="196" ht="15.75" customHeight="1">
      <c r="E196" s="16"/>
    </row>
    <row r="197" ht="15.75" customHeight="1">
      <c r="E197" s="16"/>
    </row>
    <row r="198" ht="15.75" customHeight="1">
      <c r="E198" s="16"/>
    </row>
    <row r="199" ht="15.75" customHeight="1">
      <c r="E199" s="16"/>
    </row>
    <row r="200" ht="15.75" customHeight="1">
      <c r="E200" s="16"/>
    </row>
    <row r="201" ht="15.75" customHeight="1">
      <c r="E201" s="16"/>
    </row>
    <row r="202" ht="15.75" customHeight="1">
      <c r="E202" s="16"/>
    </row>
    <row r="203" ht="15.75" customHeight="1">
      <c r="E203" s="16"/>
    </row>
    <row r="204" ht="15.75" customHeight="1">
      <c r="E204" s="16"/>
    </row>
    <row r="205" ht="15.75" customHeight="1">
      <c r="E205" s="16"/>
    </row>
    <row r="206" ht="15.75" customHeight="1">
      <c r="E206" s="16"/>
    </row>
    <row r="207" ht="15.75" customHeight="1">
      <c r="E207" s="16"/>
    </row>
    <row r="208" ht="15.75" customHeight="1">
      <c r="E208" s="16"/>
    </row>
    <row r="209" ht="15.75" customHeight="1">
      <c r="E209" s="16"/>
    </row>
    <row r="210" ht="15.75" customHeight="1">
      <c r="E210" s="16"/>
    </row>
    <row r="211" ht="15.75" customHeight="1">
      <c r="E211" s="16"/>
    </row>
    <row r="212" ht="15.75" customHeight="1">
      <c r="E212" s="16"/>
    </row>
    <row r="213" ht="15.75" customHeight="1">
      <c r="E213" s="16"/>
    </row>
    <row r="214" ht="15.75" customHeight="1">
      <c r="E214" s="16"/>
    </row>
    <row r="215" ht="15.75" customHeight="1">
      <c r="E215" s="16"/>
    </row>
    <row r="216" ht="15.75" customHeight="1">
      <c r="E216" s="16"/>
    </row>
    <row r="217" ht="15.75" customHeight="1">
      <c r="E217" s="16"/>
    </row>
    <row r="218" ht="15.75" customHeight="1">
      <c r="E218" s="16"/>
    </row>
    <row r="219" ht="15.75" customHeight="1">
      <c r="E219" s="16"/>
    </row>
    <row r="220" ht="15.75" customHeight="1">
      <c r="E220" s="1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6" width="12.63"/>
  </cols>
  <sheetData>
    <row r="1" ht="15.75" customHeight="1">
      <c r="A1" s="1" t="s">
        <v>25</v>
      </c>
      <c r="B1" s="1"/>
      <c r="C1" s="1" t="s">
        <v>27</v>
      </c>
      <c r="D1" s="1" t="s">
        <v>97</v>
      </c>
      <c r="E1" s="1" t="s">
        <v>29</v>
      </c>
      <c r="F1" s="16" t="s">
        <v>30</v>
      </c>
      <c r="G1" s="1" t="s">
        <v>31</v>
      </c>
      <c r="H1" s="1" t="s">
        <v>32</v>
      </c>
      <c r="J1" s="18" t="s">
        <v>33</v>
      </c>
      <c r="K1" s="18" t="s">
        <v>34</v>
      </c>
      <c r="L1" s="18" t="s">
        <v>35</v>
      </c>
      <c r="M1" s="4" t="s">
        <v>36</v>
      </c>
      <c r="N1" s="4" t="s">
        <v>37</v>
      </c>
      <c r="O1" s="4" t="s">
        <v>38</v>
      </c>
    </row>
    <row r="2" ht="30.0" customHeight="1">
      <c r="A2" s="21"/>
      <c r="B2" s="6">
        <v>7.0</v>
      </c>
      <c r="C2" s="1" t="s">
        <v>112</v>
      </c>
      <c r="D2" s="1" t="s">
        <v>104</v>
      </c>
      <c r="E2" s="1" t="s">
        <v>41</v>
      </c>
      <c r="F2" s="16">
        <v>21.23</v>
      </c>
      <c r="G2" s="17">
        <f>F2*Suppliers!$I$1</f>
        <v>15.98311165</v>
      </c>
      <c r="H2" s="1">
        <v>5.0</v>
      </c>
      <c r="I2" s="17">
        <f t="shared" ref="I2:I5" si="1">H2*G2</f>
        <v>79.91555825</v>
      </c>
      <c r="J2" s="18">
        <f>Suppliers!$B$21</f>
        <v>1.865586224</v>
      </c>
      <c r="K2" s="18">
        <v>0.52</v>
      </c>
      <c r="L2" s="18">
        <v>3.78</v>
      </c>
      <c r="M2" s="19">
        <f t="shared" ref="M2:M5" si="2">SUM(G2+J2+K2+L2)</f>
        <v>22.14869787</v>
      </c>
      <c r="N2" s="4">
        <v>59.99</v>
      </c>
      <c r="O2" s="20">
        <f t="shared" ref="O2:O5" si="3">(N2-M2)/N2</f>
        <v>0.630793501</v>
      </c>
    </row>
    <row r="3" ht="30.0" customHeight="1">
      <c r="A3" s="21"/>
      <c r="B3" s="6">
        <v>7.0</v>
      </c>
      <c r="C3" s="1" t="s">
        <v>113</v>
      </c>
      <c r="E3" s="1" t="s">
        <v>50</v>
      </c>
      <c r="F3" s="16">
        <v>11.68</v>
      </c>
      <c r="G3" s="17">
        <f>F3*Suppliers!$I$1</f>
        <v>8.7933464</v>
      </c>
      <c r="H3" s="1">
        <v>5.0</v>
      </c>
      <c r="I3" s="17">
        <f t="shared" si="1"/>
        <v>43.966732</v>
      </c>
      <c r="J3" s="18">
        <f>Suppliers!$B$21</f>
        <v>1.865586224</v>
      </c>
      <c r="K3" s="18">
        <v>0.52</v>
      </c>
      <c r="L3" s="18">
        <v>3.78</v>
      </c>
      <c r="M3" s="19">
        <f t="shared" si="2"/>
        <v>14.95893262</v>
      </c>
      <c r="N3" s="4">
        <v>49.99</v>
      </c>
      <c r="O3" s="20">
        <f t="shared" si="3"/>
        <v>0.7007614998</v>
      </c>
    </row>
    <row r="4" ht="30.0" customHeight="1">
      <c r="B4" s="1">
        <v>7.0</v>
      </c>
      <c r="C4" s="1" t="s">
        <v>114</v>
      </c>
      <c r="E4" s="1" t="s">
        <v>50</v>
      </c>
      <c r="F4" s="16">
        <v>14.09</v>
      </c>
      <c r="G4" s="17">
        <f>F4*Suppliers!$I$1</f>
        <v>10.60772695</v>
      </c>
      <c r="H4" s="1">
        <v>5.0</v>
      </c>
      <c r="I4" s="17">
        <f t="shared" si="1"/>
        <v>53.03863475</v>
      </c>
      <c r="J4" s="18">
        <f>Suppliers!$B$21</f>
        <v>1.865586224</v>
      </c>
      <c r="K4" s="18">
        <v>0.52</v>
      </c>
      <c r="L4" s="18">
        <v>3.78</v>
      </c>
      <c r="M4" s="19">
        <f t="shared" si="2"/>
        <v>16.77331317</v>
      </c>
      <c r="N4" s="4">
        <v>49.99</v>
      </c>
      <c r="O4" s="20">
        <f t="shared" si="3"/>
        <v>0.6644666298</v>
      </c>
    </row>
    <row r="5" ht="30.0" customHeight="1">
      <c r="B5" s="1">
        <v>7.5</v>
      </c>
      <c r="C5" s="1" t="s">
        <v>115</v>
      </c>
      <c r="E5" s="1" t="s">
        <v>55</v>
      </c>
      <c r="F5" s="16">
        <v>13.16</v>
      </c>
      <c r="G5" s="17">
        <f>F5*Suppliers!$I$1</f>
        <v>9.9075718</v>
      </c>
      <c r="H5" s="1">
        <v>5.0</v>
      </c>
      <c r="I5" s="17">
        <f t="shared" si="1"/>
        <v>49.537859</v>
      </c>
      <c r="J5" s="18">
        <f>Suppliers!$B$21</f>
        <v>1.865586224</v>
      </c>
      <c r="K5" s="18">
        <v>0.52</v>
      </c>
      <c r="L5" s="18">
        <v>3.78</v>
      </c>
      <c r="M5" s="19">
        <f t="shared" si="2"/>
        <v>16.07315802</v>
      </c>
      <c r="N5" s="4">
        <v>45.99</v>
      </c>
      <c r="O5" s="20">
        <f t="shared" si="3"/>
        <v>0.6505075446</v>
      </c>
    </row>
    <row r="6" ht="30.0" customHeight="1">
      <c r="F6" s="16"/>
      <c r="G6" s="1" t="s">
        <v>0</v>
      </c>
      <c r="H6" s="1">
        <f t="shared" ref="H6:I6" si="4">SUM(H2:H5)</f>
        <v>20</v>
      </c>
      <c r="I6" s="17">
        <f t="shared" si="4"/>
        <v>226.458784</v>
      </c>
    </row>
    <row r="7" ht="30.0" customHeight="1">
      <c r="F7" s="16"/>
    </row>
    <row r="8" ht="30.0" customHeight="1">
      <c r="F8" s="16"/>
    </row>
    <row r="9" ht="30.0" customHeight="1">
      <c r="F9" s="16"/>
    </row>
    <row r="10" ht="30.0" customHeight="1">
      <c r="F10" s="16"/>
    </row>
    <row r="11" ht="30.0" customHeight="1">
      <c r="F11" s="16"/>
    </row>
    <row r="12" ht="30.0" customHeight="1">
      <c r="F12" s="16"/>
    </row>
    <row r="13" ht="30.0" customHeight="1">
      <c r="F13" s="16"/>
    </row>
    <row r="14" ht="30.0" customHeight="1">
      <c r="F14" s="16"/>
    </row>
    <row r="15" ht="30.0" customHeight="1">
      <c r="F15" s="16"/>
    </row>
    <row r="16" ht="15.75" customHeight="1">
      <c r="F16" s="16"/>
    </row>
    <row r="17" ht="15.75" customHeight="1">
      <c r="F17" s="16"/>
    </row>
    <row r="18" ht="15.75" customHeight="1">
      <c r="F18" s="16"/>
    </row>
    <row r="19" ht="15.75" customHeight="1">
      <c r="F19" s="16"/>
    </row>
    <row r="20" ht="15.75" customHeight="1">
      <c r="F20" s="16"/>
    </row>
    <row r="21" ht="15.75" customHeight="1">
      <c r="F21" s="16"/>
    </row>
    <row r="22" ht="15.75" customHeight="1">
      <c r="F22" s="16"/>
    </row>
    <row r="23" ht="15.75" customHeight="1">
      <c r="F23" s="16"/>
    </row>
    <row r="24" ht="15.75" customHeight="1">
      <c r="F24" s="16"/>
    </row>
    <row r="25" ht="15.75" customHeight="1">
      <c r="F25" s="16"/>
    </row>
    <row r="26" ht="15.75" customHeight="1">
      <c r="F26" s="16"/>
    </row>
    <row r="27" ht="15.75" customHeight="1">
      <c r="F27" s="16"/>
    </row>
    <row r="28" ht="15.75" customHeight="1">
      <c r="F28" s="16"/>
    </row>
    <row r="29" ht="15.75" customHeight="1">
      <c r="F29" s="16"/>
    </row>
    <row r="30" ht="15.75" customHeight="1">
      <c r="F30" s="16"/>
    </row>
    <row r="31" ht="15.75" customHeight="1">
      <c r="F31" s="16"/>
    </row>
    <row r="32" ht="15.75" customHeight="1">
      <c r="F32" s="16"/>
    </row>
    <row r="33" ht="15.75" customHeight="1">
      <c r="F33" s="16"/>
    </row>
    <row r="34" ht="15.75" customHeight="1">
      <c r="F34" s="16"/>
    </row>
    <row r="35" ht="15.75" customHeight="1">
      <c r="F35" s="16"/>
    </row>
    <row r="36" ht="15.75" customHeight="1">
      <c r="F36" s="16"/>
    </row>
    <row r="37" ht="15.75" customHeight="1">
      <c r="F37" s="16"/>
    </row>
    <row r="38" ht="15.75" customHeight="1">
      <c r="F38" s="16"/>
    </row>
    <row r="39" ht="15.75" customHeight="1">
      <c r="F39" s="16"/>
    </row>
    <row r="40" ht="15.75" customHeight="1">
      <c r="F40" s="16"/>
    </row>
    <row r="41" ht="15.75" customHeight="1">
      <c r="F41" s="16"/>
    </row>
    <row r="42" ht="15.75" customHeight="1">
      <c r="F42" s="16"/>
    </row>
    <row r="43" ht="15.75" customHeight="1">
      <c r="F43" s="16"/>
    </row>
    <row r="44" ht="15.75" customHeight="1">
      <c r="F44" s="16"/>
    </row>
    <row r="45" ht="15.75" customHeight="1">
      <c r="F45" s="16"/>
    </row>
    <row r="46" ht="15.75" customHeight="1">
      <c r="F46" s="16"/>
    </row>
    <row r="47" ht="15.75" customHeight="1">
      <c r="F47" s="16"/>
    </row>
    <row r="48" ht="15.75" customHeight="1">
      <c r="F48" s="16"/>
    </row>
    <row r="49" ht="15.75" customHeight="1">
      <c r="F49" s="16"/>
    </row>
    <row r="50" ht="15.75" customHeight="1">
      <c r="F50" s="16"/>
    </row>
    <row r="51" ht="15.75" customHeight="1">
      <c r="F51" s="16"/>
    </row>
    <row r="52" ht="15.75" customHeight="1">
      <c r="F52" s="16"/>
    </row>
    <row r="53" ht="15.75" customHeight="1">
      <c r="F53" s="16"/>
    </row>
    <row r="54" ht="15.75" customHeight="1">
      <c r="F54" s="16"/>
    </row>
    <row r="55" ht="15.75" customHeight="1">
      <c r="F55" s="16"/>
    </row>
    <row r="56" ht="15.75" customHeight="1">
      <c r="F56" s="16"/>
    </row>
    <row r="57" ht="15.75" customHeight="1">
      <c r="F57" s="16"/>
    </row>
    <row r="58" ht="15.75" customHeight="1">
      <c r="F58" s="16"/>
    </row>
    <row r="59" ht="15.75" customHeight="1">
      <c r="F59" s="16"/>
    </row>
    <row r="60" ht="15.75" customHeight="1">
      <c r="F60" s="16"/>
    </row>
    <row r="61" ht="15.75" customHeight="1">
      <c r="F61" s="16"/>
    </row>
    <row r="62" ht="15.75" customHeight="1">
      <c r="F62" s="16"/>
    </row>
    <row r="63" ht="15.75" customHeight="1">
      <c r="F63" s="16"/>
    </row>
    <row r="64" ht="15.75" customHeight="1">
      <c r="F64" s="16"/>
    </row>
    <row r="65" ht="15.75" customHeight="1">
      <c r="F65" s="16"/>
    </row>
    <row r="66" ht="15.75" customHeight="1">
      <c r="F66" s="16"/>
    </row>
    <row r="67" ht="15.75" customHeight="1">
      <c r="F67" s="16"/>
    </row>
    <row r="68" ht="15.75" customHeight="1">
      <c r="F68" s="16"/>
    </row>
    <row r="69" ht="15.75" customHeight="1">
      <c r="F69" s="16"/>
    </row>
    <row r="70" ht="15.75" customHeight="1">
      <c r="F70" s="16"/>
    </row>
    <row r="71" ht="15.75" customHeight="1">
      <c r="F71" s="16"/>
    </row>
    <row r="72" ht="15.75" customHeight="1">
      <c r="F72" s="16"/>
    </row>
    <row r="73" ht="15.75" customHeight="1">
      <c r="F73" s="16"/>
    </row>
    <row r="74" ht="15.75" customHeight="1">
      <c r="F74" s="16"/>
    </row>
    <row r="75" ht="15.75" customHeight="1">
      <c r="F75" s="16"/>
    </row>
    <row r="76" ht="15.75" customHeight="1">
      <c r="F76" s="16"/>
    </row>
    <row r="77" ht="15.75" customHeight="1">
      <c r="F77" s="16"/>
    </row>
    <row r="78" ht="15.75" customHeight="1">
      <c r="F78" s="16"/>
    </row>
    <row r="79" ht="15.75" customHeight="1">
      <c r="F79" s="16"/>
    </row>
    <row r="80" ht="15.75" customHeight="1">
      <c r="F80" s="16"/>
    </row>
    <row r="81" ht="15.75" customHeight="1">
      <c r="F81" s="16"/>
    </row>
    <row r="82" ht="15.75" customHeight="1">
      <c r="F82" s="16"/>
    </row>
    <row r="83" ht="15.75" customHeight="1">
      <c r="F83" s="16"/>
    </row>
    <row r="84" ht="15.75" customHeight="1">
      <c r="F84" s="16"/>
    </row>
    <row r="85" ht="15.75" customHeight="1">
      <c r="F85" s="16"/>
    </row>
    <row r="86" ht="15.75" customHeight="1">
      <c r="F86" s="16"/>
    </row>
    <row r="87" ht="15.75" customHeight="1">
      <c r="F87" s="16"/>
    </row>
    <row r="88" ht="15.75" customHeight="1">
      <c r="F88" s="16"/>
    </row>
    <row r="89" ht="15.75" customHeight="1">
      <c r="F89" s="16"/>
    </row>
    <row r="90" ht="15.75" customHeight="1">
      <c r="F90" s="16"/>
    </row>
    <row r="91" ht="15.75" customHeight="1">
      <c r="F91" s="16"/>
    </row>
    <row r="92" ht="15.75" customHeight="1">
      <c r="F92" s="16"/>
    </row>
    <row r="93" ht="15.75" customHeight="1">
      <c r="F93" s="16"/>
    </row>
    <row r="94" ht="15.75" customHeight="1">
      <c r="F94" s="16"/>
    </row>
    <row r="95" ht="15.75" customHeight="1">
      <c r="F95" s="16"/>
    </row>
    <row r="96" ht="15.75" customHeight="1">
      <c r="F96" s="16"/>
    </row>
    <row r="97" ht="15.75" customHeight="1">
      <c r="F97" s="16"/>
    </row>
    <row r="98" ht="15.75" customHeight="1">
      <c r="F98" s="16"/>
    </row>
    <row r="99" ht="15.75" customHeight="1">
      <c r="F99" s="16"/>
    </row>
    <row r="100" ht="15.75" customHeight="1">
      <c r="F100" s="16"/>
    </row>
    <row r="101" ht="15.75" customHeight="1">
      <c r="F101" s="16"/>
    </row>
    <row r="102" ht="15.75" customHeight="1">
      <c r="F102" s="16"/>
    </row>
    <row r="103" ht="15.75" customHeight="1">
      <c r="F103" s="16"/>
    </row>
    <row r="104" ht="15.75" customHeight="1">
      <c r="F104" s="16"/>
    </row>
    <row r="105" ht="15.75" customHeight="1">
      <c r="F105" s="16"/>
    </row>
    <row r="106" ht="15.75" customHeight="1">
      <c r="F106" s="16"/>
    </row>
    <row r="107" ht="15.75" customHeight="1">
      <c r="F107" s="16"/>
    </row>
    <row r="108" ht="15.75" customHeight="1">
      <c r="F108" s="16"/>
    </row>
    <row r="109" ht="15.75" customHeight="1">
      <c r="F109" s="16"/>
    </row>
    <row r="110" ht="15.75" customHeight="1">
      <c r="F110" s="16"/>
    </row>
    <row r="111" ht="15.75" customHeight="1">
      <c r="F111" s="16"/>
    </row>
    <row r="112" ht="15.75" customHeight="1">
      <c r="F112" s="16"/>
    </row>
    <row r="113" ht="15.75" customHeight="1">
      <c r="F113" s="16"/>
    </row>
    <row r="114" ht="15.75" customHeight="1">
      <c r="F114" s="16"/>
    </row>
    <row r="115" ht="15.75" customHeight="1">
      <c r="F115" s="16"/>
    </row>
    <row r="116" ht="15.75" customHeight="1">
      <c r="F116" s="16"/>
    </row>
    <row r="117" ht="15.75" customHeight="1">
      <c r="F117" s="16"/>
    </row>
    <row r="118" ht="15.75" customHeight="1">
      <c r="F118" s="16"/>
    </row>
    <row r="119" ht="15.75" customHeight="1">
      <c r="F119" s="16"/>
    </row>
    <row r="120" ht="15.75" customHeight="1">
      <c r="F120" s="16"/>
    </row>
    <row r="121" ht="15.75" customHeight="1">
      <c r="F121" s="16"/>
    </row>
    <row r="122" ht="15.75" customHeight="1">
      <c r="F122" s="16"/>
    </row>
    <row r="123" ht="15.75" customHeight="1">
      <c r="F123" s="16"/>
    </row>
    <row r="124" ht="15.75" customHeight="1">
      <c r="F124" s="16"/>
    </row>
    <row r="125" ht="15.75" customHeight="1">
      <c r="F125" s="16"/>
    </row>
    <row r="126" ht="15.75" customHeight="1">
      <c r="F126" s="16"/>
    </row>
    <row r="127" ht="15.75" customHeight="1">
      <c r="F127" s="16"/>
    </row>
    <row r="128" ht="15.75" customHeight="1">
      <c r="F128" s="16"/>
    </row>
    <row r="129" ht="15.75" customHeight="1">
      <c r="F129" s="16"/>
    </row>
    <row r="130" ht="15.75" customHeight="1">
      <c r="F130" s="16"/>
    </row>
    <row r="131" ht="15.75" customHeight="1">
      <c r="F131" s="16"/>
    </row>
    <row r="132" ht="15.75" customHeight="1">
      <c r="F132" s="16"/>
    </row>
    <row r="133" ht="15.75" customHeight="1">
      <c r="F133" s="16"/>
    </row>
    <row r="134" ht="15.75" customHeight="1">
      <c r="F134" s="16"/>
    </row>
    <row r="135" ht="15.75" customHeight="1">
      <c r="F135" s="16"/>
    </row>
    <row r="136" ht="15.75" customHeight="1">
      <c r="F136" s="16"/>
    </row>
    <row r="137" ht="15.75" customHeight="1">
      <c r="F137" s="16"/>
    </row>
    <row r="138" ht="15.75" customHeight="1">
      <c r="F138" s="16"/>
    </row>
    <row r="139" ht="15.75" customHeight="1">
      <c r="F139" s="16"/>
    </row>
    <row r="140" ht="15.75" customHeight="1">
      <c r="F140" s="16"/>
    </row>
    <row r="141" ht="15.75" customHeight="1">
      <c r="F141" s="16"/>
    </row>
    <row r="142" ht="15.75" customHeight="1">
      <c r="F142" s="16"/>
    </row>
    <row r="143" ht="15.75" customHeight="1">
      <c r="F143" s="16"/>
    </row>
    <row r="144" ht="15.75" customHeight="1">
      <c r="F144" s="16"/>
    </row>
    <row r="145" ht="15.75" customHeight="1">
      <c r="F145" s="16"/>
    </row>
    <row r="146" ht="15.75" customHeight="1">
      <c r="F146" s="16"/>
    </row>
    <row r="147" ht="15.75" customHeight="1">
      <c r="F147" s="16"/>
    </row>
    <row r="148" ht="15.75" customHeight="1">
      <c r="F148" s="16"/>
    </row>
    <row r="149" ht="15.75" customHeight="1">
      <c r="F149" s="16"/>
    </row>
    <row r="150" ht="15.75" customHeight="1">
      <c r="F150" s="16"/>
    </row>
    <row r="151" ht="15.75" customHeight="1">
      <c r="F151" s="16"/>
    </row>
    <row r="152" ht="15.75" customHeight="1">
      <c r="F152" s="16"/>
    </row>
    <row r="153" ht="15.75" customHeight="1">
      <c r="F153" s="16"/>
    </row>
    <row r="154" ht="15.75" customHeight="1">
      <c r="F154" s="16"/>
    </row>
    <row r="155" ht="15.75" customHeight="1">
      <c r="F155" s="16"/>
    </row>
    <row r="156" ht="15.75" customHeight="1">
      <c r="F156" s="16"/>
    </row>
    <row r="157" ht="15.75" customHeight="1">
      <c r="F157" s="16"/>
    </row>
    <row r="158" ht="15.75" customHeight="1">
      <c r="F158" s="16"/>
    </row>
    <row r="159" ht="15.75" customHeight="1">
      <c r="F159" s="16"/>
    </row>
    <row r="160" ht="15.75" customHeight="1">
      <c r="F160" s="16"/>
    </row>
    <row r="161" ht="15.75" customHeight="1">
      <c r="F161" s="16"/>
    </row>
    <row r="162" ht="15.75" customHeight="1">
      <c r="F162" s="16"/>
    </row>
    <row r="163" ht="15.75" customHeight="1">
      <c r="F163" s="16"/>
    </row>
    <row r="164" ht="15.75" customHeight="1">
      <c r="F164" s="16"/>
    </row>
    <row r="165" ht="15.75" customHeight="1">
      <c r="F165" s="16"/>
    </row>
    <row r="166" ht="15.75" customHeight="1">
      <c r="F166" s="16"/>
    </row>
    <row r="167" ht="15.75" customHeight="1">
      <c r="F167" s="16"/>
    </row>
    <row r="168" ht="15.75" customHeight="1">
      <c r="F168" s="16"/>
    </row>
    <row r="169" ht="15.75" customHeight="1">
      <c r="F169" s="16"/>
    </row>
    <row r="170" ht="15.75" customHeight="1">
      <c r="F170" s="16"/>
    </row>
    <row r="171" ht="15.75" customHeight="1">
      <c r="F171" s="16"/>
    </row>
    <row r="172" ht="15.75" customHeight="1">
      <c r="F172" s="16"/>
    </row>
    <row r="173" ht="15.75" customHeight="1">
      <c r="F173" s="16"/>
    </row>
    <row r="174" ht="15.75" customHeight="1">
      <c r="F174" s="16"/>
    </row>
    <row r="175" ht="15.75" customHeight="1">
      <c r="F175" s="16"/>
    </row>
    <row r="176" ht="15.75" customHeight="1">
      <c r="F176" s="16"/>
    </row>
    <row r="177" ht="15.75" customHeight="1">
      <c r="F177" s="16"/>
    </row>
    <row r="178" ht="15.75" customHeight="1">
      <c r="F178" s="16"/>
    </row>
    <row r="179" ht="15.75" customHeight="1">
      <c r="F179" s="16"/>
    </row>
    <row r="180" ht="15.75" customHeight="1">
      <c r="F180" s="16"/>
    </row>
    <row r="181" ht="15.75" customHeight="1">
      <c r="F181" s="16"/>
    </row>
    <row r="182" ht="15.75" customHeight="1">
      <c r="F182" s="16"/>
    </row>
    <row r="183" ht="15.75" customHeight="1">
      <c r="F183" s="16"/>
    </row>
    <row r="184" ht="15.75" customHeight="1">
      <c r="F184" s="16"/>
    </row>
    <row r="185" ht="15.75" customHeight="1">
      <c r="F185" s="16"/>
    </row>
    <row r="186" ht="15.75" customHeight="1">
      <c r="F186" s="16"/>
    </row>
    <row r="187" ht="15.75" customHeight="1">
      <c r="F187" s="16"/>
    </row>
    <row r="188" ht="15.75" customHeight="1">
      <c r="F188" s="16"/>
    </row>
    <row r="189" ht="15.75" customHeight="1">
      <c r="F189" s="16"/>
    </row>
    <row r="190" ht="15.75" customHeight="1">
      <c r="F190" s="16"/>
    </row>
    <row r="191" ht="15.75" customHeight="1">
      <c r="F191" s="16"/>
    </row>
    <row r="192" ht="15.75" customHeight="1">
      <c r="F192" s="16"/>
    </row>
    <row r="193" ht="15.75" customHeight="1">
      <c r="F193" s="16"/>
    </row>
    <row r="194" ht="15.75" customHeight="1">
      <c r="F194" s="16"/>
    </row>
    <row r="195" ht="15.75" customHeight="1">
      <c r="F195" s="16"/>
    </row>
    <row r="196" ht="15.75" customHeight="1">
      <c r="F196" s="16"/>
    </row>
    <row r="197" ht="15.75" customHeight="1">
      <c r="F197" s="16"/>
    </row>
    <row r="198" ht="15.75" customHeight="1">
      <c r="F198" s="16"/>
    </row>
    <row r="199" ht="15.75" customHeight="1">
      <c r="F199" s="16"/>
    </row>
    <row r="200" ht="15.75" customHeight="1">
      <c r="F200" s="16"/>
    </row>
    <row r="201" ht="15.75" customHeight="1">
      <c r="F201" s="16"/>
    </row>
    <row r="202" ht="15.75" customHeight="1">
      <c r="F202" s="16"/>
    </row>
    <row r="203" ht="15.75" customHeight="1">
      <c r="F203" s="16"/>
    </row>
    <row r="204" ht="15.75" customHeight="1">
      <c r="F204" s="16"/>
    </row>
    <row r="205" ht="15.75" customHeight="1">
      <c r="F205" s="16"/>
    </row>
    <row r="206" ht="15.75" customHeight="1">
      <c r="F206" s="16"/>
    </row>
    <row r="207" ht="15.75" customHeight="1">
      <c r="F207" s="16"/>
    </row>
    <row r="208" ht="15.75" customHeight="1">
      <c r="F208" s="16"/>
    </row>
    <row r="209" ht="15.75" customHeight="1">
      <c r="F209" s="16"/>
    </row>
    <row r="210" ht="15.75" customHeight="1">
      <c r="F210" s="16"/>
    </row>
    <row r="211" ht="15.75" customHeight="1">
      <c r="F211" s="16"/>
    </row>
    <row r="212" ht="15.75" customHeight="1">
      <c r="F212" s="16"/>
    </row>
    <row r="213" ht="15.75" customHeight="1">
      <c r="F213" s="16"/>
    </row>
    <row r="214" ht="15.75" customHeight="1">
      <c r="F214" s="16"/>
    </row>
    <row r="215" ht="15.75" customHeight="1">
      <c r="F215" s="16"/>
    </row>
    <row r="216" ht="15.75" customHeight="1">
      <c r="F216" s="16"/>
    </row>
    <row r="217" ht="15.75" customHeight="1">
      <c r="F217" s="16"/>
    </row>
    <row r="218" ht="15.75" customHeight="1">
      <c r="F218" s="16"/>
    </row>
    <row r="219" ht="15.75" customHeight="1">
      <c r="F219" s="16"/>
    </row>
    <row r="220" ht="15.75" customHeight="1">
      <c r="F220" s="1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88"/>
  </cols>
  <sheetData>
    <row r="1" ht="15.75" customHeight="1">
      <c r="A1" s="1" t="s">
        <v>25</v>
      </c>
      <c r="B1" s="6" t="s">
        <v>26</v>
      </c>
      <c r="C1" s="1" t="s">
        <v>27</v>
      </c>
      <c r="D1" s="1" t="s">
        <v>97</v>
      </c>
      <c r="E1" s="1" t="s">
        <v>29</v>
      </c>
      <c r="F1" s="16" t="s">
        <v>30</v>
      </c>
      <c r="G1" s="1" t="s">
        <v>31</v>
      </c>
      <c r="H1" s="1" t="s">
        <v>32</v>
      </c>
      <c r="J1" s="18" t="s">
        <v>33</v>
      </c>
      <c r="K1" s="18" t="s">
        <v>34</v>
      </c>
      <c r="L1" s="18" t="s">
        <v>35</v>
      </c>
      <c r="M1" s="4" t="s">
        <v>36</v>
      </c>
      <c r="N1" s="4" t="s">
        <v>37</v>
      </c>
      <c r="O1" s="4" t="s">
        <v>38</v>
      </c>
    </row>
    <row r="2" ht="75.0" customHeight="1">
      <c r="B2" s="6">
        <v>5.8</v>
      </c>
      <c r="C2" s="6" t="s">
        <v>116</v>
      </c>
      <c r="D2" s="1" t="s">
        <v>104</v>
      </c>
      <c r="E2" s="6" t="s">
        <v>55</v>
      </c>
      <c r="F2" s="23">
        <v>4.59</v>
      </c>
      <c r="G2" s="17">
        <f>F2*Suppliers!$I$1</f>
        <v>3.45560445</v>
      </c>
      <c r="H2" s="1">
        <v>5.0</v>
      </c>
      <c r="I2" s="17">
        <f t="shared" ref="I2:I4" si="1">H2*G2</f>
        <v>17.27802225</v>
      </c>
      <c r="J2" s="18">
        <f>Suppliers!$B$21</f>
        <v>1.865586224</v>
      </c>
      <c r="K2" s="18">
        <v>0.52</v>
      </c>
      <c r="L2" s="18">
        <v>3.78</v>
      </c>
      <c r="M2" s="19">
        <f t="shared" ref="M2:M4" si="2">SUM(G2+J2+K2+L2)</f>
        <v>9.621190674</v>
      </c>
      <c r="N2" s="4">
        <v>34.99</v>
      </c>
      <c r="O2" s="20">
        <f t="shared" ref="O2:O4" si="3">(N2-M2)/N2</f>
        <v>0.7250302751</v>
      </c>
    </row>
    <row r="3" ht="75.0" customHeight="1">
      <c r="B3" s="6">
        <v>5.2</v>
      </c>
      <c r="C3" s="6" t="s">
        <v>117</v>
      </c>
      <c r="D3" s="1" t="s">
        <v>104</v>
      </c>
      <c r="E3" s="6" t="s">
        <v>55</v>
      </c>
      <c r="F3" s="23">
        <v>4.12</v>
      </c>
      <c r="G3" s="17">
        <f>F3*Suppliers!$I$1</f>
        <v>3.1017626</v>
      </c>
      <c r="H3" s="1">
        <v>5.0</v>
      </c>
      <c r="I3" s="17">
        <f t="shared" si="1"/>
        <v>15.508813</v>
      </c>
      <c r="J3" s="18">
        <f>Suppliers!$B$21</f>
        <v>1.865586224</v>
      </c>
      <c r="K3" s="18">
        <v>0.52</v>
      </c>
      <c r="L3" s="18">
        <v>3.78</v>
      </c>
      <c r="M3" s="19">
        <f t="shared" si="2"/>
        <v>9.267348824</v>
      </c>
      <c r="N3" s="4">
        <v>34.99</v>
      </c>
      <c r="O3" s="20">
        <f t="shared" si="3"/>
        <v>0.7351429316</v>
      </c>
    </row>
    <row r="4" ht="75.0" customHeight="1">
      <c r="B4" s="6">
        <v>5.7</v>
      </c>
      <c r="C4" s="6" t="s">
        <v>118</v>
      </c>
      <c r="D4" s="1" t="s">
        <v>104</v>
      </c>
      <c r="E4" s="6" t="s">
        <v>55</v>
      </c>
      <c r="F4" s="23">
        <v>4.11</v>
      </c>
      <c r="G4" s="17">
        <f>F4*Suppliers!$I$1</f>
        <v>3.09423405</v>
      </c>
      <c r="H4" s="1">
        <v>5.0</v>
      </c>
      <c r="I4" s="17">
        <f t="shared" si="1"/>
        <v>15.47117025</v>
      </c>
      <c r="J4" s="18">
        <f>Suppliers!$B$21</f>
        <v>1.865586224</v>
      </c>
      <c r="K4" s="18">
        <v>0.52</v>
      </c>
      <c r="L4" s="18">
        <v>3.78</v>
      </c>
      <c r="M4" s="19">
        <f t="shared" si="2"/>
        <v>9.259820274</v>
      </c>
      <c r="N4" s="4">
        <v>34.99</v>
      </c>
      <c r="O4" s="20">
        <f t="shared" si="3"/>
        <v>0.7353580945</v>
      </c>
    </row>
    <row r="5" ht="75.0" customHeight="1">
      <c r="F5" s="16"/>
      <c r="G5" s="1" t="s">
        <v>0</v>
      </c>
      <c r="H5" s="1">
        <f t="shared" ref="H5:I5" si="4">SUM(H2:H4)</f>
        <v>15</v>
      </c>
      <c r="I5" s="17">
        <f t="shared" si="4"/>
        <v>48.2580055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25</v>
      </c>
      <c r="B1" s="1" t="s">
        <v>26</v>
      </c>
      <c r="C1" s="1" t="s">
        <v>27</v>
      </c>
      <c r="D1" s="6" t="s">
        <v>28</v>
      </c>
      <c r="E1" s="1" t="s">
        <v>29</v>
      </c>
      <c r="F1" s="16" t="s">
        <v>30</v>
      </c>
      <c r="G1" s="17" t="s">
        <v>31</v>
      </c>
      <c r="H1" s="1" t="s">
        <v>32</v>
      </c>
      <c r="J1" s="18" t="s">
        <v>33</v>
      </c>
      <c r="K1" s="18" t="s">
        <v>34</v>
      </c>
      <c r="L1" s="18" t="s">
        <v>35</v>
      </c>
      <c r="M1" s="4" t="s">
        <v>36</v>
      </c>
      <c r="N1" s="4" t="s">
        <v>37</v>
      </c>
      <c r="O1" s="4" t="s">
        <v>38</v>
      </c>
    </row>
    <row r="2" ht="49.5" customHeight="1">
      <c r="A2" s="25"/>
      <c r="C2" s="4" t="s">
        <v>119</v>
      </c>
      <c r="D2" s="4" t="s">
        <v>120</v>
      </c>
      <c r="E2" s="4" t="s">
        <v>121</v>
      </c>
      <c r="F2" s="4">
        <v>36.76</v>
      </c>
    </row>
  </sheetData>
  <drawing r:id="rId1"/>
</worksheet>
</file>